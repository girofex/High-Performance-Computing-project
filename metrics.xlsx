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d064bda473745c9/Documenti/GitHub/High-Performance-Computing-project/"/>
    </mc:Choice>
  </mc:AlternateContent>
  <xr:revisionPtr revIDLastSave="1398" documentId="8_{BF6E0229-5829-4C83-9BBC-58DCAFED2F7D}" xr6:coauthVersionLast="47" xr6:coauthVersionMax="47" xr10:uidLastSave="{F4E0CC81-A518-4D7A-B691-39556DBFEE4E}"/>
  <bookViews>
    <workbookView xWindow="-120" yWindow="-120" windowWidth="29040" windowHeight="15720" xr2:uid="{674D654E-F57A-44BF-8654-EF23F1E7188E}"/>
  </bookViews>
  <sheets>
    <sheet name="WK007" sheetId="1" r:id="rId1"/>
    <sheet name="WK008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64" i="1" l="1"/>
  <c r="J163" i="1"/>
  <c r="J162" i="1"/>
  <c r="J161" i="1"/>
  <c r="J160" i="1"/>
  <c r="J159" i="1"/>
  <c r="J158" i="1"/>
  <c r="J157" i="1"/>
  <c r="J156" i="1"/>
  <c r="J155" i="1"/>
  <c r="J154" i="1"/>
  <c r="J153" i="1"/>
  <c r="J152" i="1"/>
  <c r="P11" i="1" s="1"/>
  <c r="J142" i="1"/>
  <c r="P7" i="1" s="1"/>
  <c r="J143" i="1"/>
  <c r="J144" i="1"/>
  <c r="J145" i="1"/>
  <c r="J146" i="1"/>
  <c r="J147" i="1"/>
  <c r="J148" i="1"/>
  <c r="J149" i="1"/>
  <c r="J150" i="1"/>
  <c r="J151" i="1"/>
  <c r="J141" i="1"/>
  <c r="J140" i="1"/>
  <c r="J139" i="1"/>
  <c r="J138" i="1"/>
  <c r="J137" i="1"/>
  <c r="J136" i="1"/>
  <c r="J134" i="1"/>
  <c r="J135" i="1"/>
  <c r="J133" i="1"/>
  <c r="J132" i="1"/>
  <c r="P3" i="1" s="1"/>
  <c r="J127" i="1"/>
  <c r="J126" i="1"/>
  <c r="J121" i="1"/>
  <c r="J120" i="1"/>
  <c r="J111" i="1"/>
  <c r="J110" i="1"/>
  <c r="J95" i="1"/>
  <c r="J94" i="1"/>
  <c r="J89" i="1"/>
  <c r="J88" i="1"/>
  <c r="J79" i="1"/>
  <c r="J78" i="1"/>
  <c r="J69" i="1"/>
  <c r="J68" i="1"/>
  <c r="J61" i="1"/>
  <c r="J60" i="1"/>
  <c r="J49" i="1"/>
  <c r="J48" i="1"/>
  <c r="P2" i="1" s="1"/>
  <c r="J131" i="1"/>
  <c r="J130" i="1"/>
  <c r="J129" i="1"/>
  <c r="J128" i="1"/>
  <c r="J125" i="1"/>
  <c r="J124" i="1"/>
  <c r="J123" i="1"/>
  <c r="J122" i="1"/>
  <c r="J119" i="1"/>
  <c r="J118" i="1"/>
  <c r="J117" i="1"/>
  <c r="J116" i="1"/>
  <c r="J115" i="1"/>
  <c r="J114" i="1"/>
  <c r="J113" i="1"/>
  <c r="J112" i="1"/>
  <c r="J109" i="1"/>
  <c r="J108" i="1"/>
  <c r="J107" i="1"/>
  <c r="J106" i="1"/>
  <c r="J105" i="1"/>
  <c r="J104" i="1"/>
  <c r="J103" i="1"/>
  <c r="J102" i="1"/>
  <c r="J99" i="1"/>
  <c r="J98" i="1"/>
  <c r="J97" i="1"/>
  <c r="J96" i="1"/>
  <c r="J93" i="1"/>
  <c r="J92" i="1"/>
  <c r="J91" i="1"/>
  <c r="J90" i="1"/>
  <c r="J87" i="1"/>
  <c r="J86" i="1"/>
  <c r="J85" i="1"/>
  <c r="J84" i="1"/>
  <c r="J83" i="1"/>
  <c r="J82" i="1"/>
  <c r="J81" i="1"/>
  <c r="J80" i="1"/>
  <c r="J77" i="1"/>
  <c r="J76" i="1"/>
  <c r="J75" i="1"/>
  <c r="J74" i="1"/>
  <c r="J73" i="1"/>
  <c r="J72" i="1"/>
  <c r="J71" i="1"/>
  <c r="J70" i="1"/>
  <c r="O10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O6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O2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J67" i="1"/>
  <c r="J66" i="1"/>
  <c r="J65" i="1"/>
  <c r="J64" i="1"/>
  <c r="J63" i="1"/>
  <c r="J62" i="1"/>
  <c r="J59" i="1"/>
  <c r="J58" i="1"/>
  <c r="J57" i="1"/>
  <c r="J56" i="1"/>
  <c r="J55" i="1"/>
  <c r="J54" i="1"/>
  <c r="J53" i="1"/>
  <c r="J52" i="1"/>
  <c r="J51" i="1"/>
  <c r="J50" i="1"/>
  <c r="J47" i="1"/>
  <c r="J46" i="1"/>
  <c r="J45" i="1"/>
  <c r="J44" i="1"/>
  <c r="J43" i="1"/>
  <c r="J42" i="1"/>
  <c r="J41" i="1"/>
  <c r="J40" i="1"/>
  <c r="P6" i="1" l="1"/>
  <c r="P10" i="1"/>
</calcChain>
</file>

<file path=xl/sharedStrings.xml><?xml version="1.0" encoding="utf-8"?>
<sst xmlns="http://schemas.openxmlformats.org/spreadsheetml/2006/main" count="1030" uniqueCount="42">
  <si>
    <t>n</t>
  </si>
  <si>
    <t>Compiler</t>
  </si>
  <si>
    <t>Optimization flag</t>
  </si>
  <si>
    <t>Method (or baseline)</t>
  </si>
  <si>
    <t>icc</t>
  </si>
  <si>
    <t>fast</t>
  </si>
  <si>
    <t>baseline</t>
  </si>
  <si>
    <t>Time (s)</t>
  </si>
  <si>
    <t>host</t>
  </si>
  <si>
    <t>O0</t>
  </si>
  <si>
    <t>O1</t>
  </si>
  <si>
    <t>O3</t>
  </si>
  <si>
    <t>O2</t>
  </si>
  <si>
    <t>icx</t>
  </si>
  <si>
    <t>Number of threads</t>
  </si>
  <si>
    <t>OpenMP</t>
  </si>
  <si>
    <t>Standard or Tiled</t>
  </si>
  <si>
    <t>standard</t>
  </si>
  <si>
    <t>tiled</t>
  </si>
  <si>
    <t>fp-model</t>
  </si>
  <si>
    <t>fast-math</t>
  </si>
  <si>
    <t>precise</t>
  </si>
  <si>
    <t>Speed up</t>
  </si>
  <si>
    <t>Maximum speedup n5000</t>
  </si>
  <si>
    <t>MPI</t>
  </si>
  <si>
    <t>CUDA</t>
  </si>
  <si>
    <t>Maximum speedup n10000</t>
  </si>
  <si>
    <t>Maximum speedup n15000</t>
  </si>
  <si>
    <t>icc fast standard</t>
  </si>
  <si>
    <t>icc fast fast-math standard</t>
  </si>
  <si>
    <t>Speedup</t>
  </si>
  <si>
    <t>O3 host</t>
  </si>
  <si>
    <t>icc O3 host fast-math standard</t>
  </si>
  <si>
    <t>mpiicc</t>
  </si>
  <si>
    <t>custom fast</t>
  </si>
  <si>
    <t>mpiicx</t>
  </si>
  <si>
    <t xml:space="preserve">O3 </t>
  </si>
  <si>
    <t>mpiicx O3 host</t>
  </si>
  <si>
    <t>mpiicc O3 host</t>
  </si>
  <si>
    <t>nvcc</t>
  </si>
  <si>
    <t>Time (s) [for CUDA, with I/O]</t>
  </si>
  <si>
    <t>Time kernel only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</si>
</sst>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0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FC70-5187-461C-B4C6-97043A58D014}">
  <dimension ref="A1:Q164"/>
  <sheetViews>
    <sheetView tabSelected="1" topLeftCell="A138" workbookViewId="0">
      <selection activeCell="K162" sqref="K162"/>
    </sheetView>
  </sheetViews>
  <sheetFormatPr defaultRowHeight="15" x14ac:dyDescent="0.25"/>
  <cols>
    <col min="3" max="3" width="17.85546875" customWidth="1"/>
    <col min="4" max="4" width="19.7109375" customWidth="1"/>
    <col min="5" max="5" width="40.140625" customWidth="1"/>
    <col min="6" max="6" width="15.140625" customWidth="1"/>
    <col min="7" max="8" width="17.28515625" customWidth="1"/>
    <col min="9" max="9" width="20.85546875" customWidth="1"/>
    <col min="10" max="10" width="16.42578125" customWidth="1"/>
    <col min="14" max="14" width="24.140625" customWidth="1"/>
    <col min="15" max="15" width="11.28515625" customWidth="1"/>
    <col min="17" max="17" width="39.855468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40</v>
      </c>
      <c r="F1" s="1" t="s">
        <v>19</v>
      </c>
      <c r="G1" s="1" t="s">
        <v>16</v>
      </c>
      <c r="H1" s="1" t="s">
        <v>14</v>
      </c>
      <c r="I1" s="1" t="s">
        <v>41</v>
      </c>
      <c r="J1" s="1" t="s">
        <v>22</v>
      </c>
    </row>
    <row r="2" spans="1:17" x14ac:dyDescent="0.25">
      <c r="A2" s="2">
        <v>5000</v>
      </c>
      <c r="B2" s="2" t="s">
        <v>4</v>
      </c>
      <c r="C2" s="2" t="s">
        <v>5</v>
      </c>
      <c r="D2" s="2" t="s">
        <v>6</v>
      </c>
      <c r="E2" s="2">
        <v>5</v>
      </c>
      <c r="F2" s="2"/>
      <c r="G2" s="2"/>
      <c r="H2" s="2"/>
      <c r="I2" s="2"/>
      <c r="J2" s="2"/>
      <c r="N2" t="s">
        <v>23</v>
      </c>
      <c r="O2" t="s">
        <v>15</v>
      </c>
      <c r="P2">
        <f>MAX(J40:J69)</f>
        <v>6.3291139240506329</v>
      </c>
      <c r="Q2" t="s">
        <v>32</v>
      </c>
    </row>
    <row r="3" spans="1:17" x14ac:dyDescent="0.25">
      <c r="A3">
        <v>5000</v>
      </c>
      <c r="B3" t="s">
        <v>4</v>
      </c>
      <c r="C3" t="s">
        <v>8</v>
      </c>
      <c r="D3" t="s">
        <v>6</v>
      </c>
      <c r="E3">
        <v>48</v>
      </c>
      <c r="O3" t="s">
        <v>24</v>
      </c>
      <c r="P3">
        <f>MAX(J132:J141)</f>
        <v>0.93632958801498134</v>
      </c>
      <c r="Q3" t="s">
        <v>37</v>
      </c>
    </row>
    <row r="4" spans="1:17" x14ac:dyDescent="0.25">
      <c r="A4">
        <v>5000</v>
      </c>
      <c r="B4" t="s">
        <v>4</v>
      </c>
      <c r="C4" t="s">
        <v>9</v>
      </c>
      <c r="D4" t="s">
        <v>6</v>
      </c>
      <c r="E4">
        <v>256</v>
      </c>
      <c r="O4" t="s">
        <v>25</v>
      </c>
    </row>
    <row r="5" spans="1:17" x14ac:dyDescent="0.25">
      <c r="A5">
        <v>5000</v>
      </c>
      <c r="B5" t="s">
        <v>4</v>
      </c>
      <c r="C5" t="s">
        <v>10</v>
      </c>
      <c r="D5" t="s">
        <v>6</v>
      </c>
      <c r="E5">
        <v>69</v>
      </c>
    </row>
    <row r="6" spans="1:17" x14ac:dyDescent="0.25">
      <c r="A6">
        <v>5000</v>
      </c>
      <c r="B6" t="s">
        <v>4</v>
      </c>
      <c r="C6" t="s">
        <v>31</v>
      </c>
      <c r="D6" t="s">
        <v>6</v>
      </c>
      <c r="E6">
        <v>6</v>
      </c>
      <c r="N6" t="s">
        <v>26</v>
      </c>
      <c r="O6" t="s">
        <v>15</v>
      </c>
      <c r="P6">
        <f>MAX(J70:J101)</f>
        <v>8.2105263157894743</v>
      </c>
      <c r="Q6" t="s">
        <v>28</v>
      </c>
    </row>
    <row r="7" spans="1:17" x14ac:dyDescent="0.25">
      <c r="A7">
        <v>5000</v>
      </c>
      <c r="B7" t="s">
        <v>4</v>
      </c>
      <c r="C7" t="s">
        <v>11</v>
      </c>
      <c r="D7" t="s">
        <v>6</v>
      </c>
      <c r="E7">
        <v>19</v>
      </c>
      <c r="O7" t="s">
        <v>24</v>
      </c>
      <c r="P7">
        <f>MAX(J142:J151)</f>
        <v>0.95145157355452548</v>
      </c>
      <c r="Q7" t="s">
        <v>37</v>
      </c>
    </row>
    <row r="8" spans="1:17" x14ac:dyDescent="0.25">
      <c r="A8">
        <v>5000</v>
      </c>
      <c r="B8" t="s">
        <v>4</v>
      </c>
      <c r="C8" t="s">
        <v>12</v>
      </c>
      <c r="D8" t="s">
        <v>6</v>
      </c>
      <c r="E8">
        <v>50</v>
      </c>
      <c r="O8" t="s">
        <v>25</v>
      </c>
    </row>
    <row r="9" spans="1:17" x14ac:dyDescent="0.25">
      <c r="A9">
        <v>5000</v>
      </c>
      <c r="B9" t="s">
        <v>13</v>
      </c>
      <c r="C9" t="s">
        <v>5</v>
      </c>
      <c r="D9" t="s">
        <v>6</v>
      </c>
      <c r="E9">
        <v>6</v>
      </c>
    </row>
    <row r="10" spans="1:17" x14ac:dyDescent="0.25">
      <c r="A10">
        <v>5000</v>
      </c>
      <c r="B10" t="s">
        <v>13</v>
      </c>
      <c r="C10" t="s">
        <v>8</v>
      </c>
      <c r="D10" t="s">
        <v>6</v>
      </c>
      <c r="E10">
        <v>6</v>
      </c>
      <c r="N10" t="s">
        <v>27</v>
      </c>
      <c r="O10" t="s">
        <v>15</v>
      </c>
      <c r="P10">
        <f>MAX(J102:J131)</f>
        <v>8.5808580858085808</v>
      </c>
      <c r="Q10" t="s">
        <v>29</v>
      </c>
    </row>
    <row r="11" spans="1:17" x14ac:dyDescent="0.25">
      <c r="A11">
        <v>5000</v>
      </c>
      <c r="B11" t="s">
        <v>13</v>
      </c>
      <c r="C11" t="s">
        <v>9</v>
      </c>
      <c r="D11" t="s">
        <v>6</v>
      </c>
      <c r="E11">
        <v>167</v>
      </c>
      <c r="O11" t="s">
        <v>24</v>
      </c>
      <c r="P11">
        <f>MAX(J152:J161)</f>
        <v>0.95863136936804061</v>
      </c>
      <c r="Q11" t="s">
        <v>38</v>
      </c>
    </row>
    <row r="12" spans="1:17" x14ac:dyDescent="0.25">
      <c r="A12">
        <v>5000</v>
      </c>
      <c r="B12" t="s">
        <v>13</v>
      </c>
      <c r="C12" t="s">
        <v>10</v>
      </c>
      <c r="D12" t="s">
        <v>6</v>
      </c>
      <c r="E12">
        <v>65</v>
      </c>
      <c r="O12" t="s">
        <v>25</v>
      </c>
    </row>
    <row r="13" spans="1:17" x14ac:dyDescent="0.25">
      <c r="A13">
        <v>5000</v>
      </c>
      <c r="B13" t="s">
        <v>13</v>
      </c>
      <c r="C13" t="s">
        <v>31</v>
      </c>
      <c r="D13" t="s">
        <v>6</v>
      </c>
      <c r="E13">
        <v>5</v>
      </c>
    </row>
    <row r="14" spans="1:17" x14ac:dyDescent="0.25">
      <c r="A14">
        <v>5000</v>
      </c>
      <c r="B14" t="s">
        <v>13</v>
      </c>
      <c r="C14" t="s">
        <v>11</v>
      </c>
      <c r="D14" t="s">
        <v>6</v>
      </c>
      <c r="E14">
        <v>50</v>
      </c>
    </row>
    <row r="15" spans="1:17" x14ac:dyDescent="0.25">
      <c r="A15">
        <v>5000</v>
      </c>
      <c r="B15" t="s">
        <v>13</v>
      </c>
      <c r="C15" t="s">
        <v>12</v>
      </c>
      <c r="D15" t="s">
        <v>6</v>
      </c>
      <c r="E15">
        <v>51</v>
      </c>
    </row>
    <row r="16" spans="1:17" x14ac:dyDescent="0.25">
      <c r="A16" s="3">
        <v>10000</v>
      </c>
      <c r="B16" s="3" t="s">
        <v>4</v>
      </c>
      <c r="C16" s="3" t="s">
        <v>5</v>
      </c>
      <c r="D16" s="3" t="s">
        <v>6</v>
      </c>
      <c r="E16" s="3">
        <v>40</v>
      </c>
      <c r="F16" s="3"/>
      <c r="G16" s="3"/>
      <c r="H16" s="3"/>
      <c r="I16" s="3"/>
      <c r="J16" s="3"/>
    </row>
    <row r="17" spans="1:10" x14ac:dyDescent="0.25">
      <c r="A17">
        <v>10000</v>
      </c>
      <c r="B17" t="s">
        <v>4</v>
      </c>
      <c r="C17" t="s">
        <v>8</v>
      </c>
      <c r="D17" t="s">
        <v>6</v>
      </c>
      <c r="E17">
        <v>368</v>
      </c>
    </row>
    <row r="18" spans="1:10" x14ac:dyDescent="0.25">
      <c r="A18">
        <v>10000</v>
      </c>
      <c r="B18" t="s">
        <v>4</v>
      </c>
      <c r="C18" t="s">
        <v>9</v>
      </c>
      <c r="D18" t="s">
        <v>6</v>
      </c>
      <c r="E18">
        <v>2066</v>
      </c>
    </row>
    <row r="19" spans="1:10" x14ac:dyDescent="0.25">
      <c r="A19">
        <v>10000</v>
      </c>
      <c r="B19" t="s">
        <v>4</v>
      </c>
      <c r="C19" t="s">
        <v>10</v>
      </c>
      <c r="D19" t="s">
        <v>6</v>
      </c>
      <c r="E19">
        <v>532</v>
      </c>
    </row>
    <row r="20" spans="1:10" x14ac:dyDescent="0.25">
      <c r="A20">
        <v>10000</v>
      </c>
      <c r="B20" t="s">
        <v>4</v>
      </c>
      <c r="C20" t="s">
        <v>31</v>
      </c>
      <c r="D20" t="s">
        <v>6</v>
      </c>
      <c r="E20">
        <v>40</v>
      </c>
    </row>
    <row r="21" spans="1:10" x14ac:dyDescent="0.25">
      <c r="A21">
        <v>10000</v>
      </c>
      <c r="B21" t="s">
        <v>4</v>
      </c>
      <c r="C21" t="s">
        <v>11</v>
      </c>
      <c r="D21" t="s">
        <v>6</v>
      </c>
      <c r="E21">
        <v>184</v>
      </c>
    </row>
    <row r="22" spans="1:10" x14ac:dyDescent="0.25">
      <c r="A22">
        <v>10000</v>
      </c>
      <c r="B22" t="s">
        <v>4</v>
      </c>
      <c r="C22" t="s">
        <v>12</v>
      </c>
      <c r="D22" t="s">
        <v>6</v>
      </c>
      <c r="E22">
        <v>385</v>
      </c>
    </row>
    <row r="23" spans="1:10" x14ac:dyDescent="0.25">
      <c r="A23">
        <v>10000</v>
      </c>
      <c r="B23" t="s">
        <v>13</v>
      </c>
      <c r="C23" t="s">
        <v>5</v>
      </c>
      <c r="D23" t="s">
        <v>6</v>
      </c>
      <c r="E23">
        <v>41</v>
      </c>
    </row>
    <row r="24" spans="1:10" x14ac:dyDescent="0.25">
      <c r="A24">
        <v>10000</v>
      </c>
      <c r="B24" t="s">
        <v>13</v>
      </c>
      <c r="C24" t="s">
        <v>8</v>
      </c>
      <c r="D24" t="s">
        <v>6</v>
      </c>
      <c r="E24">
        <v>44</v>
      </c>
    </row>
    <row r="25" spans="1:10" x14ac:dyDescent="0.25">
      <c r="A25">
        <v>10000</v>
      </c>
      <c r="B25" t="s">
        <v>13</v>
      </c>
      <c r="C25" t="s">
        <v>9</v>
      </c>
      <c r="D25" t="s">
        <v>6</v>
      </c>
      <c r="E25">
        <v>1336</v>
      </c>
    </row>
    <row r="26" spans="1:10" x14ac:dyDescent="0.25">
      <c r="A26">
        <v>10000</v>
      </c>
      <c r="B26" t="s">
        <v>13</v>
      </c>
      <c r="C26" t="s">
        <v>10</v>
      </c>
      <c r="D26" t="s">
        <v>6</v>
      </c>
      <c r="E26">
        <v>522</v>
      </c>
    </row>
    <row r="27" spans="1:10" x14ac:dyDescent="0.25">
      <c r="A27" s="2">
        <v>10000</v>
      </c>
      <c r="B27" s="2" t="s">
        <v>13</v>
      </c>
      <c r="C27" s="2" t="s">
        <v>31</v>
      </c>
      <c r="D27" s="2" t="s">
        <v>6</v>
      </c>
      <c r="E27" s="2">
        <v>39</v>
      </c>
      <c r="F27" s="2"/>
      <c r="G27" s="2"/>
      <c r="H27" s="2"/>
      <c r="I27" s="2"/>
      <c r="J27" s="2"/>
    </row>
    <row r="28" spans="1:10" x14ac:dyDescent="0.25">
      <c r="A28">
        <v>10000</v>
      </c>
      <c r="B28" t="s">
        <v>13</v>
      </c>
      <c r="C28" t="s">
        <v>11</v>
      </c>
      <c r="D28" t="s">
        <v>6</v>
      </c>
      <c r="E28">
        <v>406</v>
      </c>
    </row>
    <row r="29" spans="1:10" x14ac:dyDescent="0.25">
      <c r="A29">
        <v>10000</v>
      </c>
      <c r="B29" t="s">
        <v>13</v>
      </c>
      <c r="C29" t="s">
        <v>12</v>
      </c>
      <c r="D29" t="s">
        <v>6</v>
      </c>
      <c r="E29">
        <v>407</v>
      </c>
    </row>
    <row r="30" spans="1:10" x14ac:dyDescent="0.25">
      <c r="A30">
        <v>15000</v>
      </c>
      <c r="B30" t="s">
        <v>4</v>
      </c>
      <c r="C30" t="s">
        <v>5</v>
      </c>
      <c r="D30" t="s">
        <v>6</v>
      </c>
      <c r="E30">
        <v>134</v>
      </c>
    </row>
    <row r="31" spans="1:10" x14ac:dyDescent="0.25">
      <c r="A31">
        <v>15000</v>
      </c>
      <c r="B31" t="s">
        <v>4</v>
      </c>
      <c r="C31" t="s">
        <v>8</v>
      </c>
      <c r="D31" t="s">
        <v>6</v>
      </c>
      <c r="E31">
        <v>1313</v>
      </c>
    </row>
    <row r="32" spans="1:10" x14ac:dyDescent="0.25">
      <c r="A32">
        <v>15000</v>
      </c>
      <c r="B32" t="s">
        <v>4</v>
      </c>
      <c r="C32" t="s">
        <v>31</v>
      </c>
      <c r="D32" t="s">
        <v>6</v>
      </c>
      <c r="E32">
        <v>166</v>
      </c>
    </row>
    <row r="33" spans="1:10" x14ac:dyDescent="0.25">
      <c r="A33">
        <v>15000</v>
      </c>
      <c r="B33" t="s">
        <v>4</v>
      </c>
      <c r="C33" t="s">
        <v>11</v>
      </c>
      <c r="D33" t="s">
        <v>6</v>
      </c>
      <c r="E33">
        <v>498</v>
      </c>
    </row>
    <row r="34" spans="1:10" x14ac:dyDescent="0.25">
      <c r="A34">
        <v>15000</v>
      </c>
      <c r="B34" t="s">
        <v>4</v>
      </c>
      <c r="C34" t="s">
        <v>12</v>
      </c>
      <c r="D34" t="s">
        <v>6</v>
      </c>
      <c r="E34">
        <v>1329</v>
      </c>
    </row>
    <row r="35" spans="1:10" x14ac:dyDescent="0.25">
      <c r="A35" s="3">
        <v>15000</v>
      </c>
      <c r="B35" s="3" t="s">
        <v>13</v>
      </c>
      <c r="C35" s="3" t="s">
        <v>5</v>
      </c>
      <c r="D35" s="3" t="s">
        <v>6</v>
      </c>
      <c r="E35" s="3">
        <v>133</v>
      </c>
      <c r="F35" s="3"/>
      <c r="G35" s="3"/>
      <c r="H35" s="3"/>
      <c r="I35" s="3"/>
      <c r="J35" s="3"/>
    </row>
    <row r="36" spans="1:10" x14ac:dyDescent="0.25">
      <c r="A36">
        <v>15000</v>
      </c>
      <c r="B36" t="s">
        <v>13</v>
      </c>
      <c r="C36" t="s">
        <v>8</v>
      </c>
      <c r="D36" t="s">
        <v>6</v>
      </c>
      <c r="E36">
        <v>145</v>
      </c>
    </row>
    <row r="37" spans="1:10" x14ac:dyDescent="0.25">
      <c r="A37" s="2">
        <v>15000</v>
      </c>
      <c r="B37" s="2" t="s">
        <v>13</v>
      </c>
      <c r="C37" s="2" t="s">
        <v>31</v>
      </c>
      <c r="D37" s="2" t="s">
        <v>6</v>
      </c>
      <c r="E37" s="2">
        <v>130</v>
      </c>
      <c r="F37" s="2"/>
      <c r="G37" s="2"/>
      <c r="H37" s="2"/>
      <c r="I37" s="2"/>
      <c r="J37" s="2"/>
    </row>
    <row r="38" spans="1:10" x14ac:dyDescent="0.25">
      <c r="A38">
        <v>15000</v>
      </c>
      <c r="B38" t="s">
        <v>13</v>
      </c>
      <c r="C38" t="s">
        <v>11</v>
      </c>
      <c r="D38" t="s">
        <v>6</v>
      </c>
      <c r="E38">
        <v>1372</v>
      </c>
    </row>
    <row r="39" spans="1:10" x14ac:dyDescent="0.25">
      <c r="A39">
        <v>15000</v>
      </c>
      <c r="B39" t="s">
        <v>13</v>
      </c>
      <c r="C39" t="s">
        <v>12</v>
      </c>
      <c r="D39" t="s">
        <v>6</v>
      </c>
      <c r="E39">
        <v>1374</v>
      </c>
    </row>
    <row r="40" spans="1:10" x14ac:dyDescent="0.25">
      <c r="A40">
        <v>5000</v>
      </c>
      <c r="B40" t="s">
        <v>4</v>
      </c>
      <c r="C40" t="s">
        <v>5</v>
      </c>
      <c r="D40" t="s">
        <v>15</v>
      </c>
      <c r="E40">
        <v>0.84</v>
      </c>
      <c r="G40" t="s">
        <v>17</v>
      </c>
      <c r="J40">
        <f>E2/E40</f>
        <v>5.9523809523809526</v>
      </c>
    </row>
    <row r="41" spans="1:10" x14ac:dyDescent="0.25">
      <c r="A41">
        <v>5000</v>
      </c>
      <c r="B41" t="s">
        <v>4</v>
      </c>
      <c r="C41" t="s">
        <v>5</v>
      </c>
      <c r="D41" t="s">
        <v>15</v>
      </c>
      <c r="E41">
        <v>2.09</v>
      </c>
      <c r="G41" t="s">
        <v>18</v>
      </c>
      <c r="J41">
        <f>E2/E41</f>
        <v>2.3923444976076556</v>
      </c>
    </row>
    <row r="42" spans="1:10" x14ac:dyDescent="0.25">
      <c r="A42">
        <v>5000</v>
      </c>
      <c r="B42" t="s">
        <v>4</v>
      </c>
      <c r="C42" t="s">
        <v>8</v>
      </c>
      <c r="D42" t="s">
        <v>15</v>
      </c>
      <c r="E42">
        <v>5.65</v>
      </c>
      <c r="G42" t="s">
        <v>17</v>
      </c>
      <c r="J42">
        <f>E2/E42</f>
        <v>0.88495575221238931</v>
      </c>
    </row>
    <row r="43" spans="1:10" x14ac:dyDescent="0.25">
      <c r="A43">
        <v>5000</v>
      </c>
      <c r="B43" t="s">
        <v>4</v>
      </c>
      <c r="C43" t="s">
        <v>8</v>
      </c>
      <c r="D43" t="s">
        <v>15</v>
      </c>
      <c r="E43">
        <v>1.71</v>
      </c>
      <c r="G43" t="s">
        <v>18</v>
      </c>
      <c r="J43">
        <f>E2/E43</f>
        <v>2.9239766081871346</v>
      </c>
    </row>
    <row r="44" spans="1:10" x14ac:dyDescent="0.25">
      <c r="A44">
        <v>5000</v>
      </c>
      <c r="B44" t="s">
        <v>4</v>
      </c>
      <c r="C44" t="s">
        <v>12</v>
      </c>
      <c r="D44" t="s">
        <v>15</v>
      </c>
      <c r="E44">
        <v>6.57</v>
      </c>
      <c r="G44" t="s">
        <v>17</v>
      </c>
      <c r="J44">
        <f>E2/E44</f>
        <v>0.76103500761035003</v>
      </c>
    </row>
    <row r="45" spans="1:10" x14ac:dyDescent="0.25">
      <c r="A45">
        <v>5000</v>
      </c>
      <c r="B45" t="s">
        <v>4</v>
      </c>
      <c r="C45" t="s">
        <v>12</v>
      </c>
      <c r="D45" t="s">
        <v>15</v>
      </c>
      <c r="E45">
        <v>2.2400000000000002</v>
      </c>
      <c r="G45" t="s">
        <v>18</v>
      </c>
      <c r="J45">
        <f>E2/E45</f>
        <v>2.2321428571428568</v>
      </c>
    </row>
    <row r="46" spans="1:10" x14ac:dyDescent="0.25">
      <c r="A46">
        <v>5000</v>
      </c>
      <c r="B46" t="s">
        <v>4</v>
      </c>
      <c r="C46" t="s">
        <v>11</v>
      </c>
      <c r="D46" t="s">
        <v>15</v>
      </c>
      <c r="E46">
        <v>6.86</v>
      </c>
      <c r="G46" t="s">
        <v>17</v>
      </c>
      <c r="J46">
        <f>E2/E46</f>
        <v>0.7288629737609329</v>
      </c>
    </row>
    <row r="47" spans="1:10" x14ac:dyDescent="0.25">
      <c r="A47">
        <v>5000</v>
      </c>
      <c r="B47" t="s">
        <v>4</v>
      </c>
      <c r="C47" t="s">
        <v>11</v>
      </c>
      <c r="D47" t="s">
        <v>15</v>
      </c>
      <c r="E47">
        <v>2.09</v>
      </c>
      <c r="G47" t="s">
        <v>18</v>
      </c>
      <c r="J47">
        <f>E2/E47</f>
        <v>2.3923444976076556</v>
      </c>
    </row>
    <row r="48" spans="1:10" x14ac:dyDescent="0.25">
      <c r="A48">
        <v>5000</v>
      </c>
      <c r="B48" t="s">
        <v>4</v>
      </c>
      <c r="C48" t="s">
        <v>31</v>
      </c>
      <c r="D48" t="s">
        <v>15</v>
      </c>
      <c r="E48">
        <v>0.8</v>
      </c>
      <c r="G48" t="s">
        <v>17</v>
      </c>
      <c r="J48">
        <f>E2/E48</f>
        <v>6.25</v>
      </c>
    </row>
    <row r="49" spans="1:10" x14ac:dyDescent="0.25">
      <c r="A49">
        <v>5000</v>
      </c>
      <c r="B49" t="s">
        <v>4</v>
      </c>
      <c r="C49" t="s">
        <v>31</v>
      </c>
      <c r="D49" t="s">
        <v>15</v>
      </c>
      <c r="E49">
        <v>1.77</v>
      </c>
      <c r="G49" t="s">
        <v>18</v>
      </c>
      <c r="J49">
        <f>E2/E49</f>
        <v>2.8248587570621471</v>
      </c>
    </row>
    <row r="50" spans="1:10" x14ac:dyDescent="0.25">
      <c r="A50">
        <v>5000</v>
      </c>
      <c r="B50" t="s">
        <v>13</v>
      </c>
      <c r="C50" t="s">
        <v>5</v>
      </c>
      <c r="D50" t="s">
        <v>15</v>
      </c>
      <c r="E50">
        <v>0.89</v>
      </c>
      <c r="G50" t="s">
        <v>17</v>
      </c>
      <c r="J50">
        <f>E2/E50</f>
        <v>5.6179775280898872</v>
      </c>
    </row>
    <row r="51" spans="1:10" x14ac:dyDescent="0.25">
      <c r="A51">
        <v>5000</v>
      </c>
      <c r="B51" t="s">
        <v>13</v>
      </c>
      <c r="C51" t="s">
        <v>5</v>
      </c>
      <c r="D51" t="s">
        <v>15</v>
      </c>
      <c r="E51">
        <v>1.32</v>
      </c>
      <c r="G51" t="s">
        <v>18</v>
      </c>
      <c r="J51">
        <f>E2/E51</f>
        <v>3.7878787878787876</v>
      </c>
    </row>
    <row r="52" spans="1:10" x14ac:dyDescent="0.25">
      <c r="A52">
        <v>5000</v>
      </c>
      <c r="B52" t="s">
        <v>13</v>
      </c>
      <c r="C52" t="s">
        <v>8</v>
      </c>
      <c r="D52" t="s">
        <v>15</v>
      </c>
      <c r="E52">
        <v>1</v>
      </c>
      <c r="G52" t="s">
        <v>17</v>
      </c>
      <c r="J52">
        <f>E2/E52</f>
        <v>5</v>
      </c>
    </row>
    <row r="53" spans="1:10" x14ac:dyDescent="0.25">
      <c r="A53">
        <v>5000</v>
      </c>
      <c r="B53" t="s">
        <v>13</v>
      </c>
      <c r="C53" t="s">
        <v>8</v>
      </c>
      <c r="D53" t="s">
        <v>15</v>
      </c>
      <c r="E53">
        <v>1.85</v>
      </c>
      <c r="G53" t="s">
        <v>18</v>
      </c>
      <c r="J53">
        <f>E2/E53</f>
        <v>2.7027027027027026</v>
      </c>
    </row>
    <row r="54" spans="1:10" x14ac:dyDescent="0.25">
      <c r="A54">
        <v>5000</v>
      </c>
      <c r="B54" t="s">
        <v>13</v>
      </c>
      <c r="C54" t="s">
        <v>12</v>
      </c>
      <c r="D54" t="s">
        <v>15</v>
      </c>
      <c r="E54">
        <v>6.73</v>
      </c>
      <c r="G54" t="s">
        <v>17</v>
      </c>
      <c r="J54">
        <f>E2/E54</f>
        <v>0.74294205052005935</v>
      </c>
    </row>
    <row r="55" spans="1:10" x14ac:dyDescent="0.25">
      <c r="A55">
        <v>5000</v>
      </c>
      <c r="B55" t="s">
        <v>13</v>
      </c>
      <c r="C55" t="s">
        <v>12</v>
      </c>
      <c r="D55" t="s">
        <v>15</v>
      </c>
      <c r="E55">
        <v>3.2</v>
      </c>
      <c r="G55" t="s">
        <v>18</v>
      </c>
      <c r="J55">
        <f>E2/E55</f>
        <v>1.5625</v>
      </c>
    </row>
    <row r="56" spans="1:10" x14ac:dyDescent="0.25">
      <c r="A56">
        <v>5000</v>
      </c>
      <c r="B56" t="s">
        <v>13</v>
      </c>
      <c r="C56" t="s">
        <v>11</v>
      </c>
      <c r="D56" t="s">
        <v>15</v>
      </c>
      <c r="E56">
        <v>6.82</v>
      </c>
      <c r="G56" t="s">
        <v>17</v>
      </c>
      <c r="J56">
        <f>E2/E56</f>
        <v>0.73313782991202348</v>
      </c>
    </row>
    <row r="57" spans="1:10" x14ac:dyDescent="0.25">
      <c r="A57">
        <v>5000</v>
      </c>
      <c r="B57" t="s">
        <v>13</v>
      </c>
      <c r="C57" t="s">
        <v>11</v>
      </c>
      <c r="D57" t="s">
        <v>15</v>
      </c>
      <c r="E57">
        <v>2.77</v>
      </c>
      <c r="G57" t="s">
        <v>18</v>
      </c>
      <c r="J57">
        <f>E2/E57</f>
        <v>1.8050541516245486</v>
      </c>
    </row>
    <row r="58" spans="1:10" x14ac:dyDescent="0.25">
      <c r="A58">
        <v>5000</v>
      </c>
      <c r="B58" t="s">
        <v>4</v>
      </c>
      <c r="C58" t="s">
        <v>8</v>
      </c>
      <c r="D58" t="s">
        <v>15</v>
      </c>
      <c r="E58">
        <v>5.7</v>
      </c>
      <c r="F58" t="s">
        <v>20</v>
      </c>
      <c r="G58" t="s">
        <v>17</v>
      </c>
      <c r="J58">
        <f>E2/E58</f>
        <v>0.8771929824561403</v>
      </c>
    </row>
    <row r="59" spans="1:10" x14ac:dyDescent="0.25">
      <c r="A59">
        <v>5000</v>
      </c>
      <c r="B59" t="s">
        <v>4</v>
      </c>
      <c r="C59" t="s">
        <v>8</v>
      </c>
      <c r="D59" t="s">
        <v>15</v>
      </c>
      <c r="E59">
        <v>5.51</v>
      </c>
      <c r="F59" t="s">
        <v>21</v>
      </c>
      <c r="G59" t="s">
        <v>17</v>
      </c>
      <c r="J59">
        <f>E2/E59</f>
        <v>0.90744101633393837</v>
      </c>
    </row>
    <row r="60" spans="1:10" x14ac:dyDescent="0.25">
      <c r="A60">
        <v>5000</v>
      </c>
      <c r="B60" t="s">
        <v>4</v>
      </c>
      <c r="C60" t="s">
        <v>31</v>
      </c>
      <c r="D60" t="s">
        <v>15</v>
      </c>
      <c r="E60">
        <v>0.79</v>
      </c>
      <c r="F60" t="s">
        <v>20</v>
      </c>
      <c r="G60" t="s">
        <v>17</v>
      </c>
      <c r="J60">
        <f>E2/E60</f>
        <v>6.3291139240506329</v>
      </c>
    </row>
    <row r="61" spans="1:10" x14ac:dyDescent="0.25">
      <c r="A61">
        <v>5000</v>
      </c>
      <c r="B61" t="s">
        <v>4</v>
      </c>
      <c r="C61" t="s">
        <v>31</v>
      </c>
      <c r="D61" t="s">
        <v>15</v>
      </c>
      <c r="E61">
        <v>5.45</v>
      </c>
      <c r="F61" t="s">
        <v>21</v>
      </c>
      <c r="G61" t="s">
        <v>17</v>
      </c>
      <c r="J61">
        <f>E2/E61</f>
        <v>0.9174311926605504</v>
      </c>
    </row>
    <row r="62" spans="1:10" x14ac:dyDescent="0.25">
      <c r="A62">
        <v>5000</v>
      </c>
      <c r="B62" t="s">
        <v>13</v>
      </c>
      <c r="C62" t="s">
        <v>8</v>
      </c>
      <c r="D62" t="s">
        <v>15</v>
      </c>
      <c r="E62">
        <v>0.93</v>
      </c>
      <c r="F62" t="s">
        <v>20</v>
      </c>
      <c r="G62" t="s">
        <v>17</v>
      </c>
      <c r="J62">
        <f>E2/E62</f>
        <v>5.376344086021505</v>
      </c>
    </row>
    <row r="63" spans="1:10" x14ac:dyDescent="0.25">
      <c r="A63">
        <v>5000</v>
      </c>
      <c r="B63" t="s">
        <v>13</v>
      </c>
      <c r="C63" t="s">
        <v>8</v>
      </c>
      <c r="D63" t="s">
        <v>15</v>
      </c>
      <c r="E63">
        <v>0.83</v>
      </c>
      <c r="F63" t="s">
        <v>21</v>
      </c>
      <c r="G63" t="s">
        <v>17</v>
      </c>
      <c r="J63">
        <f>E2/E63</f>
        <v>6.024096385542169</v>
      </c>
    </row>
    <row r="64" spans="1:10" x14ac:dyDescent="0.25">
      <c r="A64">
        <v>5000</v>
      </c>
      <c r="B64" t="s">
        <v>4</v>
      </c>
      <c r="C64" t="s">
        <v>8</v>
      </c>
      <c r="D64" t="s">
        <v>15</v>
      </c>
      <c r="E64">
        <v>1.72</v>
      </c>
      <c r="F64" t="s">
        <v>20</v>
      </c>
      <c r="G64" t="s">
        <v>18</v>
      </c>
      <c r="J64">
        <f>E2/E64</f>
        <v>2.9069767441860463</v>
      </c>
    </row>
    <row r="65" spans="1:10" x14ac:dyDescent="0.25">
      <c r="A65">
        <v>5000</v>
      </c>
      <c r="B65" t="s">
        <v>4</v>
      </c>
      <c r="C65" t="s">
        <v>8</v>
      </c>
      <c r="D65" t="s">
        <v>15</v>
      </c>
      <c r="E65">
        <v>1.61</v>
      </c>
      <c r="F65" t="s">
        <v>21</v>
      </c>
      <c r="G65" t="s">
        <v>18</v>
      </c>
      <c r="J65">
        <f>E2/E65</f>
        <v>3.1055900621118009</v>
      </c>
    </row>
    <row r="66" spans="1:10" x14ac:dyDescent="0.25">
      <c r="A66">
        <v>5000</v>
      </c>
      <c r="B66" t="s">
        <v>13</v>
      </c>
      <c r="C66" t="s">
        <v>5</v>
      </c>
      <c r="D66" t="s">
        <v>15</v>
      </c>
      <c r="E66">
        <v>1.29</v>
      </c>
      <c r="F66" t="s">
        <v>20</v>
      </c>
      <c r="G66" t="s">
        <v>18</v>
      </c>
      <c r="J66">
        <f>E2/E66</f>
        <v>3.8759689922480618</v>
      </c>
    </row>
    <row r="67" spans="1:10" x14ac:dyDescent="0.25">
      <c r="A67">
        <v>5000</v>
      </c>
      <c r="B67" t="s">
        <v>13</v>
      </c>
      <c r="C67" t="s">
        <v>5</v>
      </c>
      <c r="D67" t="s">
        <v>15</v>
      </c>
      <c r="E67">
        <v>1.3</v>
      </c>
      <c r="F67" t="s">
        <v>21</v>
      </c>
      <c r="G67" t="s">
        <v>18</v>
      </c>
      <c r="J67">
        <f>E2/E67</f>
        <v>3.8461538461538458</v>
      </c>
    </row>
    <row r="68" spans="1:10" x14ac:dyDescent="0.25">
      <c r="A68">
        <v>5000</v>
      </c>
      <c r="B68" t="s">
        <v>13</v>
      </c>
      <c r="C68" t="s">
        <v>31</v>
      </c>
      <c r="D68" t="s">
        <v>15</v>
      </c>
      <c r="E68">
        <v>1.37</v>
      </c>
      <c r="F68" t="s">
        <v>20</v>
      </c>
      <c r="G68" t="s">
        <v>18</v>
      </c>
      <c r="J68">
        <f>E2/E68</f>
        <v>3.6496350364963499</v>
      </c>
    </row>
    <row r="69" spans="1:10" x14ac:dyDescent="0.25">
      <c r="A69">
        <v>5000</v>
      </c>
      <c r="B69" t="s">
        <v>13</v>
      </c>
      <c r="C69" t="s">
        <v>31</v>
      </c>
      <c r="D69" t="s">
        <v>15</v>
      </c>
      <c r="E69">
        <v>1.32</v>
      </c>
      <c r="F69" t="s">
        <v>21</v>
      </c>
      <c r="G69" t="s">
        <v>18</v>
      </c>
      <c r="J69">
        <f>E2/E69</f>
        <v>3.7878787878787876</v>
      </c>
    </row>
    <row r="70" spans="1:10" x14ac:dyDescent="0.25">
      <c r="A70">
        <v>10000</v>
      </c>
      <c r="B70" t="s">
        <v>4</v>
      </c>
      <c r="C70" t="s">
        <v>5</v>
      </c>
      <c r="D70" t="s">
        <v>15</v>
      </c>
      <c r="E70">
        <v>4.75</v>
      </c>
      <c r="G70" t="s">
        <v>17</v>
      </c>
      <c r="J70">
        <f>E27/E70</f>
        <v>8.2105263157894743</v>
      </c>
    </row>
    <row r="71" spans="1:10" x14ac:dyDescent="0.25">
      <c r="A71">
        <v>10000</v>
      </c>
      <c r="B71" t="s">
        <v>4</v>
      </c>
      <c r="C71" t="s">
        <v>5</v>
      </c>
      <c r="D71" t="s">
        <v>15</v>
      </c>
      <c r="E71">
        <v>14.73</v>
      </c>
      <c r="G71" t="s">
        <v>18</v>
      </c>
      <c r="J71">
        <f>E27/E71</f>
        <v>2.6476578411405294</v>
      </c>
    </row>
    <row r="72" spans="1:10" x14ac:dyDescent="0.25">
      <c r="A72">
        <v>10000</v>
      </c>
      <c r="B72" t="s">
        <v>4</v>
      </c>
      <c r="C72" t="s">
        <v>8</v>
      </c>
      <c r="D72" t="s">
        <v>15</v>
      </c>
      <c r="E72">
        <v>48.56</v>
      </c>
      <c r="G72" t="s">
        <v>17</v>
      </c>
      <c r="J72">
        <f>E27/E72</f>
        <v>0.80313014827018114</v>
      </c>
    </row>
    <row r="73" spans="1:10" x14ac:dyDescent="0.25">
      <c r="A73">
        <v>10000</v>
      </c>
      <c r="B73" t="s">
        <v>4</v>
      </c>
      <c r="C73" t="s">
        <v>8</v>
      </c>
      <c r="D73" t="s">
        <v>15</v>
      </c>
      <c r="E73">
        <v>11.8</v>
      </c>
      <c r="G73" t="s">
        <v>18</v>
      </c>
      <c r="J73">
        <f>E27/E73</f>
        <v>3.3050847457627115</v>
      </c>
    </row>
    <row r="74" spans="1:10" x14ac:dyDescent="0.25">
      <c r="A74">
        <v>10000</v>
      </c>
      <c r="B74" t="s">
        <v>4</v>
      </c>
      <c r="C74" t="s">
        <v>12</v>
      </c>
      <c r="D74" t="s">
        <v>15</v>
      </c>
      <c r="E74">
        <v>52.2</v>
      </c>
      <c r="G74" t="s">
        <v>17</v>
      </c>
      <c r="J74">
        <f>E27/E74</f>
        <v>0.74712643678160917</v>
      </c>
    </row>
    <row r="75" spans="1:10" x14ac:dyDescent="0.25">
      <c r="A75">
        <v>10000</v>
      </c>
      <c r="B75" t="s">
        <v>4</v>
      </c>
      <c r="C75" t="s">
        <v>12</v>
      </c>
      <c r="D75" t="s">
        <v>15</v>
      </c>
      <c r="E75">
        <v>14.89</v>
      </c>
      <c r="G75" t="s">
        <v>18</v>
      </c>
      <c r="J75">
        <f>E27/E75</f>
        <v>2.6192075218267292</v>
      </c>
    </row>
    <row r="76" spans="1:10" x14ac:dyDescent="0.25">
      <c r="A76">
        <v>10000</v>
      </c>
      <c r="B76" t="s">
        <v>4</v>
      </c>
      <c r="C76" t="s">
        <v>11</v>
      </c>
      <c r="D76" t="s">
        <v>15</v>
      </c>
      <c r="E76">
        <v>52.32</v>
      </c>
      <c r="G76" t="s">
        <v>17</v>
      </c>
      <c r="J76">
        <f>E27/E76</f>
        <v>0.74541284403669728</v>
      </c>
    </row>
    <row r="77" spans="1:10" x14ac:dyDescent="0.25">
      <c r="A77">
        <v>10000</v>
      </c>
      <c r="B77" t="s">
        <v>4</v>
      </c>
      <c r="C77" t="s">
        <v>11</v>
      </c>
      <c r="D77" t="s">
        <v>15</v>
      </c>
      <c r="E77">
        <v>14.28</v>
      </c>
      <c r="G77" t="s">
        <v>18</v>
      </c>
      <c r="J77">
        <f>E27/E77</f>
        <v>2.73109243697479</v>
      </c>
    </row>
    <row r="78" spans="1:10" x14ac:dyDescent="0.25">
      <c r="A78">
        <v>10000</v>
      </c>
      <c r="B78" t="s">
        <v>4</v>
      </c>
      <c r="C78" t="s">
        <v>31</v>
      </c>
      <c r="D78" t="s">
        <v>15</v>
      </c>
      <c r="E78">
        <v>4.8</v>
      </c>
      <c r="G78" t="s">
        <v>17</v>
      </c>
      <c r="J78">
        <f>E27/E78</f>
        <v>8.125</v>
      </c>
    </row>
    <row r="79" spans="1:10" x14ac:dyDescent="0.25">
      <c r="A79">
        <v>10000</v>
      </c>
      <c r="B79" t="s">
        <v>4</v>
      </c>
      <c r="C79" t="s">
        <v>31</v>
      </c>
      <c r="D79" t="s">
        <v>15</v>
      </c>
      <c r="E79">
        <v>14.35</v>
      </c>
      <c r="G79" t="s">
        <v>18</v>
      </c>
      <c r="J79">
        <f>E27/E79</f>
        <v>2.7177700348432055</v>
      </c>
    </row>
    <row r="80" spans="1:10" x14ac:dyDescent="0.25">
      <c r="A80">
        <v>10000</v>
      </c>
      <c r="B80" t="s">
        <v>13</v>
      </c>
      <c r="C80" t="s">
        <v>5</v>
      </c>
      <c r="D80" t="s">
        <v>15</v>
      </c>
      <c r="E80">
        <v>6.28</v>
      </c>
      <c r="G80" t="s">
        <v>17</v>
      </c>
      <c r="J80">
        <f>E27/E80</f>
        <v>6.2101910828025479</v>
      </c>
    </row>
    <row r="81" spans="1:10" x14ac:dyDescent="0.25">
      <c r="A81">
        <v>10000</v>
      </c>
      <c r="B81" t="s">
        <v>13</v>
      </c>
      <c r="C81" t="s">
        <v>5</v>
      </c>
      <c r="D81" t="s">
        <v>15</v>
      </c>
      <c r="E81">
        <v>8.75</v>
      </c>
      <c r="G81" t="s">
        <v>18</v>
      </c>
      <c r="J81">
        <f>E27/E81</f>
        <v>4.4571428571428573</v>
      </c>
    </row>
    <row r="82" spans="1:10" x14ac:dyDescent="0.25">
      <c r="A82">
        <v>10000</v>
      </c>
      <c r="B82" t="s">
        <v>13</v>
      </c>
      <c r="C82" t="s">
        <v>8</v>
      </c>
      <c r="D82" t="s">
        <v>15</v>
      </c>
      <c r="E82">
        <v>6.73</v>
      </c>
      <c r="G82" t="s">
        <v>17</v>
      </c>
      <c r="J82">
        <f>E27/E82</f>
        <v>5.7949479940564634</v>
      </c>
    </row>
    <row r="83" spans="1:10" x14ac:dyDescent="0.25">
      <c r="A83">
        <v>10000</v>
      </c>
      <c r="B83" t="s">
        <v>13</v>
      </c>
      <c r="C83" t="s">
        <v>8</v>
      </c>
      <c r="D83" t="s">
        <v>15</v>
      </c>
      <c r="E83">
        <v>12.11</v>
      </c>
      <c r="G83" t="s">
        <v>18</v>
      </c>
      <c r="J83">
        <f>E27/E83</f>
        <v>3.2204789430222958</v>
      </c>
    </row>
    <row r="84" spans="1:10" x14ac:dyDescent="0.25">
      <c r="A84">
        <v>10000</v>
      </c>
      <c r="B84" t="s">
        <v>13</v>
      </c>
      <c r="C84" t="s">
        <v>12</v>
      </c>
      <c r="D84" t="s">
        <v>15</v>
      </c>
      <c r="E84">
        <v>56.27</v>
      </c>
      <c r="G84" t="s">
        <v>17</v>
      </c>
      <c r="J84">
        <f>E27/E84</f>
        <v>0.69308690243468984</v>
      </c>
    </row>
    <row r="85" spans="1:10" x14ac:dyDescent="0.25">
      <c r="A85">
        <v>10000</v>
      </c>
      <c r="B85" t="s">
        <v>13</v>
      </c>
      <c r="C85" t="s">
        <v>12</v>
      </c>
      <c r="D85" t="s">
        <v>15</v>
      </c>
      <c r="E85">
        <v>19.41</v>
      </c>
      <c r="G85" t="s">
        <v>18</v>
      </c>
      <c r="J85">
        <f>E27/E85</f>
        <v>2.009273570324575</v>
      </c>
    </row>
    <row r="86" spans="1:10" x14ac:dyDescent="0.25">
      <c r="A86">
        <v>10000</v>
      </c>
      <c r="B86" t="s">
        <v>13</v>
      </c>
      <c r="C86" t="s">
        <v>11</v>
      </c>
      <c r="D86" t="s">
        <v>15</v>
      </c>
      <c r="E86">
        <v>54.85</v>
      </c>
      <c r="G86" t="s">
        <v>17</v>
      </c>
      <c r="J86">
        <f>E27/E86</f>
        <v>0.71103008204193252</v>
      </c>
    </row>
    <row r="87" spans="1:10" x14ac:dyDescent="0.25">
      <c r="A87">
        <v>10000</v>
      </c>
      <c r="B87" t="s">
        <v>13</v>
      </c>
      <c r="C87" t="s">
        <v>11</v>
      </c>
      <c r="D87" t="s">
        <v>15</v>
      </c>
      <c r="E87">
        <v>23.08</v>
      </c>
      <c r="G87" t="s">
        <v>18</v>
      </c>
      <c r="J87">
        <f>E27/E87</f>
        <v>1.6897746967071059</v>
      </c>
    </row>
    <row r="88" spans="1:10" x14ac:dyDescent="0.25">
      <c r="A88">
        <v>10000</v>
      </c>
      <c r="B88" t="s">
        <v>13</v>
      </c>
      <c r="C88" t="s">
        <v>31</v>
      </c>
      <c r="D88" t="s">
        <v>15</v>
      </c>
      <c r="E88">
        <v>6.21</v>
      </c>
      <c r="G88" t="s">
        <v>17</v>
      </c>
      <c r="J88">
        <f>E27/E88</f>
        <v>6.2801932367149762</v>
      </c>
    </row>
    <row r="89" spans="1:10" x14ac:dyDescent="0.25">
      <c r="A89">
        <v>10000</v>
      </c>
      <c r="B89" t="s">
        <v>13</v>
      </c>
      <c r="C89" t="s">
        <v>31</v>
      </c>
      <c r="D89" t="s">
        <v>15</v>
      </c>
      <c r="E89">
        <v>9.14</v>
      </c>
      <c r="G89" t="s">
        <v>18</v>
      </c>
      <c r="J89">
        <f>E27/E89</f>
        <v>4.2669584245076582</v>
      </c>
    </row>
    <row r="90" spans="1:10" x14ac:dyDescent="0.25">
      <c r="A90">
        <v>10000</v>
      </c>
      <c r="B90" t="s">
        <v>4</v>
      </c>
      <c r="C90" t="s">
        <v>5</v>
      </c>
      <c r="D90" t="s">
        <v>15</v>
      </c>
      <c r="E90">
        <v>4.83</v>
      </c>
      <c r="F90" t="s">
        <v>20</v>
      </c>
      <c r="G90" t="s">
        <v>17</v>
      </c>
      <c r="J90">
        <f>E27/E90</f>
        <v>8.0745341614906838</v>
      </c>
    </row>
    <row r="91" spans="1:10" x14ac:dyDescent="0.25">
      <c r="A91">
        <v>10000</v>
      </c>
      <c r="B91" t="s">
        <v>4</v>
      </c>
      <c r="C91" t="s">
        <v>5</v>
      </c>
      <c r="D91" t="s">
        <v>15</v>
      </c>
      <c r="E91">
        <v>47.6</v>
      </c>
      <c r="F91" t="s">
        <v>21</v>
      </c>
      <c r="G91" t="s">
        <v>17</v>
      </c>
      <c r="J91">
        <f>E27/E91</f>
        <v>0.81932773109243695</v>
      </c>
    </row>
    <row r="92" spans="1:10" x14ac:dyDescent="0.25">
      <c r="A92">
        <v>10000</v>
      </c>
      <c r="B92" t="s">
        <v>13</v>
      </c>
      <c r="C92" t="s">
        <v>5</v>
      </c>
      <c r="D92" t="s">
        <v>15</v>
      </c>
      <c r="E92">
        <v>6.43</v>
      </c>
      <c r="F92" t="s">
        <v>20</v>
      </c>
      <c r="G92" t="s">
        <v>17</v>
      </c>
      <c r="J92">
        <f>E27/E92</f>
        <v>6.0653188180404358</v>
      </c>
    </row>
    <row r="93" spans="1:10" x14ac:dyDescent="0.25">
      <c r="A93">
        <v>10000</v>
      </c>
      <c r="B93" t="s">
        <v>13</v>
      </c>
      <c r="C93" t="s">
        <v>5</v>
      </c>
      <c r="D93" t="s">
        <v>15</v>
      </c>
      <c r="E93">
        <v>6.02</v>
      </c>
      <c r="F93" t="s">
        <v>21</v>
      </c>
      <c r="G93" t="s">
        <v>17</v>
      </c>
      <c r="J93">
        <f>E27/E93</f>
        <v>6.4784053156146184</v>
      </c>
    </row>
    <row r="94" spans="1:10" x14ac:dyDescent="0.25">
      <c r="A94">
        <v>10000</v>
      </c>
      <c r="B94" t="s">
        <v>13</v>
      </c>
      <c r="C94" t="s">
        <v>31</v>
      </c>
      <c r="D94" t="s">
        <v>15</v>
      </c>
      <c r="E94">
        <v>6.2</v>
      </c>
      <c r="F94" t="s">
        <v>20</v>
      </c>
      <c r="G94" t="s">
        <v>17</v>
      </c>
      <c r="J94">
        <f>E27/E94</f>
        <v>6.290322580645161</v>
      </c>
    </row>
    <row r="95" spans="1:10" x14ac:dyDescent="0.25">
      <c r="A95">
        <v>10000</v>
      </c>
      <c r="B95" t="s">
        <v>13</v>
      </c>
      <c r="C95" t="s">
        <v>31</v>
      </c>
      <c r="D95" t="s">
        <v>15</v>
      </c>
      <c r="E95">
        <v>6.17</v>
      </c>
      <c r="F95" t="s">
        <v>21</v>
      </c>
      <c r="G95" t="s">
        <v>17</v>
      </c>
      <c r="J95">
        <f>E27/E95</f>
        <v>6.3209076175040515</v>
      </c>
    </row>
    <row r="96" spans="1:10" x14ac:dyDescent="0.25">
      <c r="A96">
        <v>10000</v>
      </c>
      <c r="B96" t="s">
        <v>4</v>
      </c>
      <c r="C96" t="s">
        <v>8</v>
      </c>
      <c r="D96" t="s">
        <v>15</v>
      </c>
      <c r="E96">
        <v>11.4</v>
      </c>
      <c r="F96" t="s">
        <v>20</v>
      </c>
      <c r="G96" t="s">
        <v>18</v>
      </c>
      <c r="J96">
        <f>E27/E96</f>
        <v>3.4210526315789473</v>
      </c>
    </row>
    <row r="97" spans="1:10" x14ac:dyDescent="0.25">
      <c r="A97">
        <v>10000</v>
      </c>
      <c r="B97" t="s">
        <v>4</v>
      </c>
      <c r="C97" t="s">
        <v>8</v>
      </c>
      <c r="D97" t="s">
        <v>15</v>
      </c>
      <c r="E97">
        <v>10.8</v>
      </c>
      <c r="F97" t="s">
        <v>21</v>
      </c>
      <c r="G97" t="s">
        <v>18</v>
      </c>
      <c r="J97">
        <f>E27/E97</f>
        <v>3.6111111111111107</v>
      </c>
    </row>
    <row r="98" spans="1:10" x14ac:dyDescent="0.25">
      <c r="A98">
        <v>10000</v>
      </c>
      <c r="B98" t="s">
        <v>13</v>
      </c>
      <c r="C98" t="s">
        <v>5</v>
      </c>
      <c r="D98" t="s">
        <v>15</v>
      </c>
      <c r="E98">
        <v>8.83</v>
      </c>
      <c r="F98" t="s">
        <v>20</v>
      </c>
      <c r="G98" t="s">
        <v>18</v>
      </c>
      <c r="J98">
        <f>E27/E98</f>
        <v>4.4167610419026051</v>
      </c>
    </row>
    <row r="99" spans="1:10" x14ac:dyDescent="0.25">
      <c r="A99">
        <v>10000</v>
      </c>
      <c r="B99" t="s">
        <v>13</v>
      </c>
      <c r="C99" t="s">
        <v>5</v>
      </c>
      <c r="D99" t="s">
        <v>15</v>
      </c>
      <c r="E99">
        <v>8.92</v>
      </c>
      <c r="F99" t="s">
        <v>21</v>
      </c>
      <c r="G99" t="s">
        <v>18</v>
      </c>
      <c r="J99">
        <f>E27/E99</f>
        <v>4.3721973094170403</v>
      </c>
    </row>
    <row r="100" spans="1:10" x14ac:dyDescent="0.25">
      <c r="A100" s="4">
        <v>10000</v>
      </c>
      <c r="B100" s="4" t="s">
        <v>13</v>
      </c>
      <c r="C100" s="4" t="s">
        <v>31</v>
      </c>
      <c r="D100" s="4" t="s">
        <v>15</v>
      </c>
      <c r="E100" s="4"/>
      <c r="F100" s="4" t="s">
        <v>20</v>
      </c>
      <c r="G100" s="4" t="s">
        <v>18</v>
      </c>
      <c r="H100" s="4"/>
      <c r="I100" s="4"/>
      <c r="J100" s="4"/>
    </row>
    <row r="101" spans="1:10" x14ac:dyDescent="0.25">
      <c r="A101" s="4">
        <v>10000</v>
      </c>
      <c r="B101" s="4" t="s">
        <v>13</v>
      </c>
      <c r="C101" s="4" t="s">
        <v>31</v>
      </c>
      <c r="D101" s="4" t="s">
        <v>15</v>
      </c>
      <c r="E101" s="4"/>
      <c r="F101" s="4" t="s">
        <v>21</v>
      </c>
      <c r="G101" s="4" t="s">
        <v>18</v>
      </c>
      <c r="H101" s="4"/>
      <c r="I101" s="4"/>
      <c r="J101" s="4"/>
    </row>
    <row r="102" spans="1:10" x14ac:dyDescent="0.25">
      <c r="A102">
        <v>15000</v>
      </c>
      <c r="B102" t="s">
        <v>4</v>
      </c>
      <c r="C102" t="s">
        <v>5</v>
      </c>
      <c r="D102" t="s">
        <v>15</v>
      </c>
      <c r="E102">
        <v>15.16</v>
      </c>
      <c r="G102" t="s">
        <v>17</v>
      </c>
      <c r="J102">
        <f>E37/E102</f>
        <v>8.5751978891820588</v>
      </c>
    </row>
    <row r="103" spans="1:10" x14ac:dyDescent="0.25">
      <c r="A103">
        <v>15000</v>
      </c>
      <c r="B103" t="s">
        <v>4</v>
      </c>
      <c r="C103" t="s">
        <v>5</v>
      </c>
      <c r="D103" t="s">
        <v>15</v>
      </c>
      <c r="E103">
        <v>49.43</v>
      </c>
      <c r="G103" t="s">
        <v>18</v>
      </c>
      <c r="J103">
        <f>E37/E103</f>
        <v>2.6299817924337447</v>
      </c>
    </row>
    <row r="104" spans="1:10" x14ac:dyDescent="0.25">
      <c r="A104">
        <v>15000</v>
      </c>
      <c r="B104" t="s">
        <v>4</v>
      </c>
      <c r="C104" t="s">
        <v>8</v>
      </c>
      <c r="D104" t="s">
        <v>15</v>
      </c>
      <c r="E104">
        <v>147.94</v>
      </c>
      <c r="G104" t="s">
        <v>17</v>
      </c>
      <c r="J104">
        <f>E37/E104</f>
        <v>0.87873462214411246</v>
      </c>
    </row>
    <row r="105" spans="1:10" x14ac:dyDescent="0.25">
      <c r="A105">
        <v>15000</v>
      </c>
      <c r="B105" t="s">
        <v>4</v>
      </c>
      <c r="C105" t="s">
        <v>8</v>
      </c>
      <c r="D105" t="s">
        <v>15</v>
      </c>
      <c r="E105">
        <v>40.909999999999997</v>
      </c>
      <c r="G105" t="s">
        <v>18</v>
      </c>
      <c r="J105">
        <f>E37/E105</f>
        <v>3.1777071620630655</v>
      </c>
    </row>
    <row r="106" spans="1:10" x14ac:dyDescent="0.25">
      <c r="A106">
        <v>15000</v>
      </c>
      <c r="B106" t="s">
        <v>4</v>
      </c>
      <c r="C106" t="s">
        <v>12</v>
      </c>
      <c r="D106" t="s">
        <v>15</v>
      </c>
      <c r="E106">
        <v>200.19</v>
      </c>
      <c r="G106" t="s">
        <v>17</v>
      </c>
      <c r="J106">
        <f>E37/E106</f>
        <v>0.64938308606823514</v>
      </c>
    </row>
    <row r="107" spans="1:10" x14ac:dyDescent="0.25">
      <c r="A107">
        <v>15000</v>
      </c>
      <c r="B107" t="s">
        <v>4</v>
      </c>
      <c r="C107" t="s">
        <v>12</v>
      </c>
      <c r="D107" t="s">
        <v>15</v>
      </c>
      <c r="E107">
        <v>48.86</v>
      </c>
      <c r="G107" t="s">
        <v>18</v>
      </c>
      <c r="J107">
        <f>E37/E107</f>
        <v>2.6606631191158412</v>
      </c>
    </row>
    <row r="108" spans="1:10" x14ac:dyDescent="0.25">
      <c r="A108">
        <v>15000</v>
      </c>
      <c r="B108" t="s">
        <v>4</v>
      </c>
      <c r="C108" t="s">
        <v>11</v>
      </c>
      <c r="D108" t="s">
        <v>15</v>
      </c>
      <c r="E108">
        <v>175.56</v>
      </c>
      <c r="G108" t="s">
        <v>17</v>
      </c>
      <c r="J108">
        <f>E37/E108</f>
        <v>0.74048758259284575</v>
      </c>
    </row>
    <row r="109" spans="1:10" x14ac:dyDescent="0.25">
      <c r="A109">
        <v>15000</v>
      </c>
      <c r="B109" t="s">
        <v>4</v>
      </c>
      <c r="C109" t="s">
        <v>11</v>
      </c>
      <c r="D109" t="s">
        <v>15</v>
      </c>
      <c r="E109">
        <v>49.63</v>
      </c>
      <c r="G109" t="s">
        <v>18</v>
      </c>
      <c r="J109">
        <f>E37/E109</f>
        <v>2.6193834374370337</v>
      </c>
    </row>
    <row r="110" spans="1:10" x14ac:dyDescent="0.25">
      <c r="A110">
        <v>15000</v>
      </c>
      <c r="B110" t="s">
        <v>4</v>
      </c>
      <c r="C110" t="s">
        <v>31</v>
      </c>
      <c r="D110" t="s">
        <v>15</v>
      </c>
      <c r="E110">
        <v>15.54</v>
      </c>
      <c r="G110" t="s">
        <v>17</v>
      </c>
      <c r="J110">
        <f>E37/E110</f>
        <v>8.3655083655083669</v>
      </c>
    </row>
    <row r="111" spans="1:10" x14ac:dyDescent="0.25">
      <c r="A111">
        <v>15000</v>
      </c>
      <c r="B111" t="s">
        <v>4</v>
      </c>
      <c r="C111" t="s">
        <v>31</v>
      </c>
      <c r="D111" t="s">
        <v>15</v>
      </c>
      <c r="E111">
        <v>47.5</v>
      </c>
      <c r="G111" t="s">
        <v>18</v>
      </c>
      <c r="J111">
        <f>E37/E111</f>
        <v>2.736842105263158</v>
      </c>
    </row>
    <row r="112" spans="1:10" x14ac:dyDescent="0.25">
      <c r="A112">
        <v>15000</v>
      </c>
      <c r="B112" t="s">
        <v>13</v>
      </c>
      <c r="C112" t="s">
        <v>5</v>
      </c>
      <c r="D112" t="s">
        <v>15</v>
      </c>
      <c r="E112">
        <v>20.18</v>
      </c>
      <c r="G112" t="s">
        <v>17</v>
      </c>
      <c r="J112">
        <f>E37/E112</f>
        <v>6.4420218037661048</v>
      </c>
    </row>
    <row r="113" spans="1:10" x14ac:dyDescent="0.25">
      <c r="A113">
        <v>15000</v>
      </c>
      <c r="B113" t="s">
        <v>13</v>
      </c>
      <c r="C113" t="s">
        <v>5</v>
      </c>
      <c r="D113" t="s">
        <v>15</v>
      </c>
      <c r="E113">
        <v>29.29</v>
      </c>
      <c r="G113" t="s">
        <v>18</v>
      </c>
      <c r="J113">
        <f>E37/E113</f>
        <v>4.4383748719699554</v>
      </c>
    </row>
    <row r="114" spans="1:10" x14ac:dyDescent="0.25">
      <c r="A114">
        <v>15000</v>
      </c>
      <c r="B114" t="s">
        <v>13</v>
      </c>
      <c r="C114" t="s">
        <v>8</v>
      </c>
      <c r="D114" t="s">
        <v>15</v>
      </c>
      <c r="E114">
        <v>20.36</v>
      </c>
      <c r="G114" t="s">
        <v>17</v>
      </c>
      <c r="J114">
        <f>E37/E114</f>
        <v>6.3850687622789781</v>
      </c>
    </row>
    <row r="115" spans="1:10" x14ac:dyDescent="0.25">
      <c r="A115">
        <v>15000</v>
      </c>
      <c r="B115" t="s">
        <v>13</v>
      </c>
      <c r="C115" t="s">
        <v>8</v>
      </c>
      <c r="D115" t="s">
        <v>15</v>
      </c>
      <c r="E115">
        <v>41.95</v>
      </c>
      <c r="G115" t="s">
        <v>18</v>
      </c>
      <c r="J115">
        <f>E37/E115</f>
        <v>3.0989272943980928</v>
      </c>
    </row>
    <row r="116" spans="1:10" x14ac:dyDescent="0.25">
      <c r="A116">
        <v>15000</v>
      </c>
      <c r="B116" t="s">
        <v>13</v>
      </c>
      <c r="C116" t="s">
        <v>12</v>
      </c>
      <c r="D116" t="s">
        <v>15</v>
      </c>
      <c r="E116">
        <v>188.16</v>
      </c>
      <c r="G116" t="s">
        <v>17</v>
      </c>
      <c r="J116">
        <f>E37/E116</f>
        <v>0.69090136054421769</v>
      </c>
    </row>
    <row r="117" spans="1:10" x14ac:dyDescent="0.25">
      <c r="A117">
        <v>15000</v>
      </c>
      <c r="B117" t="s">
        <v>13</v>
      </c>
      <c r="C117" t="s">
        <v>12</v>
      </c>
      <c r="D117" t="s">
        <v>15</v>
      </c>
      <c r="E117">
        <v>64.16</v>
      </c>
      <c r="G117" t="s">
        <v>18</v>
      </c>
      <c r="J117">
        <f>E37/E117</f>
        <v>2.0261845386533666</v>
      </c>
    </row>
    <row r="118" spans="1:10" x14ac:dyDescent="0.25">
      <c r="A118">
        <v>15000</v>
      </c>
      <c r="B118" t="s">
        <v>13</v>
      </c>
      <c r="C118" t="s">
        <v>11</v>
      </c>
      <c r="D118" t="s">
        <v>15</v>
      </c>
      <c r="E118">
        <v>183.17</v>
      </c>
      <c r="G118" t="s">
        <v>17</v>
      </c>
      <c r="J118">
        <f>E37/E118</f>
        <v>0.70972320794889998</v>
      </c>
    </row>
    <row r="119" spans="1:10" x14ac:dyDescent="0.25">
      <c r="A119">
        <v>15000</v>
      </c>
      <c r="B119" t="s">
        <v>13</v>
      </c>
      <c r="C119" t="s">
        <v>11</v>
      </c>
      <c r="D119" t="s">
        <v>15</v>
      </c>
      <c r="E119">
        <v>80.42</v>
      </c>
      <c r="G119" t="s">
        <v>18</v>
      </c>
      <c r="J119">
        <f>E37/E119</f>
        <v>1.6165133051479732</v>
      </c>
    </row>
    <row r="120" spans="1:10" x14ac:dyDescent="0.25">
      <c r="A120">
        <v>15000</v>
      </c>
      <c r="B120" t="s">
        <v>13</v>
      </c>
      <c r="C120" t="s">
        <v>31</v>
      </c>
      <c r="D120" t="s">
        <v>15</v>
      </c>
      <c r="E120">
        <v>19.71</v>
      </c>
      <c r="G120" t="s">
        <v>17</v>
      </c>
      <c r="J120">
        <f>E37/E120</f>
        <v>6.5956367326230341</v>
      </c>
    </row>
    <row r="121" spans="1:10" x14ac:dyDescent="0.25">
      <c r="A121">
        <v>15000</v>
      </c>
      <c r="B121" t="s">
        <v>13</v>
      </c>
      <c r="C121" t="s">
        <v>31</v>
      </c>
      <c r="D121" t="s">
        <v>15</v>
      </c>
      <c r="E121">
        <v>29.56</v>
      </c>
      <c r="G121" t="s">
        <v>18</v>
      </c>
      <c r="J121">
        <f>E37/E121</f>
        <v>4.3978349120433018</v>
      </c>
    </row>
    <row r="122" spans="1:10" x14ac:dyDescent="0.25">
      <c r="A122">
        <v>15000</v>
      </c>
      <c r="B122" t="s">
        <v>4</v>
      </c>
      <c r="C122" t="s">
        <v>5</v>
      </c>
      <c r="D122" t="s">
        <v>15</v>
      </c>
      <c r="E122">
        <v>15.15</v>
      </c>
      <c r="F122" t="s">
        <v>20</v>
      </c>
      <c r="G122" t="s">
        <v>17</v>
      </c>
      <c r="J122">
        <f>E37/E122</f>
        <v>8.5808580858085808</v>
      </c>
    </row>
    <row r="123" spans="1:10" x14ac:dyDescent="0.25">
      <c r="A123">
        <v>15000</v>
      </c>
      <c r="B123" t="s">
        <v>4</v>
      </c>
      <c r="C123" t="s">
        <v>5</v>
      </c>
      <c r="D123" t="s">
        <v>15</v>
      </c>
      <c r="E123">
        <v>149.47</v>
      </c>
      <c r="F123" t="s">
        <v>21</v>
      </c>
      <c r="G123" t="s">
        <v>17</v>
      </c>
      <c r="J123">
        <f>E37/E123</f>
        <v>0.86973974710644275</v>
      </c>
    </row>
    <row r="124" spans="1:10" x14ac:dyDescent="0.25">
      <c r="A124">
        <v>15000</v>
      </c>
      <c r="B124" t="s">
        <v>13</v>
      </c>
      <c r="C124" t="s">
        <v>5</v>
      </c>
      <c r="D124" t="s">
        <v>15</v>
      </c>
      <c r="E124">
        <v>19.37</v>
      </c>
      <c r="F124" t="s">
        <v>20</v>
      </c>
      <c r="G124" t="s">
        <v>17</v>
      </c>
      <c r="J124">
        <f>E37/E124</f>
        <v>6.7114093959731544</v>
      </c>
    </row>
    <row r="125" spans="1:10" x14ac:dyDescent="0.25">
      <c r="A125">
        <v>15000</v>
      </c>
      <c r="B125" t="s">
        <v>13</v>
      </c>
      <c r="C125" t="s">
        <v>5</v>
      </c>
      <c r="D125" t="s">
        <v>15</v>
      </c>
      <c r="E125">
        <v>19.73</v>
      </c>
      <c r="F125" t="s">
        <v>21</v>
      </c>
      <c r="G125" t="s">
        <v>17</v>
      </c>
      <c r="J125">
        <f>E37/E125</f>
        <v>6.5889508362899134</v>
      </c>
    </row>
    <row r="126" spans="1:10" x14ac:dyDescent="0.25">
      <c r="A126">
        <v>15000</v>
      </c>
      <c r="B126" t="s">
        <v>13</v>
      </c>
      <c r="C126" t="s">
        <v>31</v>
      </c>
      <c r="D126" t="s">
        <v>15</v>
      </c>
      <c r="E126">
        <v>20.14</v>
      </c>
      <c r="F126" t="s">
        <v>20</v>
      </c>
      <c r="G126" t="s">
        <v>17</v>
      </c>
      <c r="J126">
        <f>E37/E126</f>
        <v>6.4548162859980138</v>
      </c>
    </row>
    <row r="127" spans="1:10" x14ac:dyDescent="0.25">
      <c r="A127">
        <v>15000</v>
      </c>
      <c r="B127" t="s">
        <v>13</v>
      </c>
      <c r="C127" t="s">
        <v>31</v>
      </c>
      <c r="D127" t="s">
        <v>15</v>
      </c>
      <c r="E127">
        <v>21.07</v>
      </c>
      <c r="F127" t="s">
        <v>21</v>
      </c>
      <c r="G127" t="s">
        <v>17</v>
      </c>
      <c r="J127">
        <f>E37/E127</f>
        <v>6.1699098243948738</v>
      </c>
    </row>
    <row r="128" spans="1:10" x14ac:dyDescent="0.25">
      <c r="A128">
        <v>15000</v>
      </c>
      <c r="B128" t="s">
        <v>4</v>
      </c>
      <c r="C128" t="s">
        <v>8</v>
      </c>
      <c r="D128" t="s">
        <v>15</v>
      </c>
      <c r="E128">
        <v>40.07</v>
      </c>
      <c r="F128" t="s">
        <v>20</v>
      </c>
      <c r="G128" t="s">
        <v>18</v>
      </c>
      <c r="J128">
        <f>E37/E128</f>
        <v>3.2443224357374594</v>
      </c>
    </row>
    <row r="129" spans="1:10" x14ac:dyDescent="0.25">
      <c r="A129">
        <v>15000</v>
      </c>
      <c r="B129" t="s">
        <v>4</v>
      </c>
      <c r="C129" t="s">
        <v>8</v>
      </c>
      <c r="D129" t="s">
        <v>15</v>
      </c>
      <c r="E129">
        <v>49.91</v>
      </c>
      <c r="F129" t="s">
        <v>21</v>
      </c>
      <c r="G129" t="s">
        <v>18</v>
      </c>
      <c r="J129">
        <f>E37/E129</f>
        <v>2.6046884391905429</v>
      </c>
    </row>
    <row r="130" spans="1:10" x14ac:dyDescent="0.25">
      <c r="A130">
        <v>15000</v>
      </c>
      <c r="B130" t="s">
        <v>13</v>
      </c>
      <c r="C130" t="s">
        <v>5</v>
      </c>
      <c r="D130" t="s">
        <v>15</v>
      </c>
      <c r="E130">
        <v>29.68</v>
      </c>
      <c r="F130" t="s">
        <v>20</v>
      </c>
      <c r="G130" t="s">
        <v>18</v>
      </c>
      <c r="J130">
        <f>E37/E130</f>
        <v>4.3800539083557952</v>
      </c>
    </row>
    <row r="131" spans="1:10" x14ac:dyDescent="0.25">
      <c r="A131">
        <v>15000</v>
      </c>
      <c r="B131" t="s">
        <v>13</v>
      </c>
      <c r="C131" t="s">
        <v>5</v>
      </c>
      <c r="D131" t="s">
        <v>15</v>
      </c>
      <c r="E131">
        <v>29.61</v>
      </c>
      <c r="F131" t="s">
        <v>21</v>
      </c>
      <c r="G131" t="s">
        <v>18</v>
      </c>
      <c r="J131">
        <f>E37/E131</f>
        <v>4.3904086457277947</v>
      </c>
    </row>
    <row r="132" spans="1:10" x14ac:dyDescent="0.25">
      <c r="A132">
        <v>5000</v>
      </c>
      <c r="B132" t="s">
        <v>33</v>
      </c>
      <c r="C132" t="s">
        <v>34</v>
      </c>
      <c r="D132" t="s">
        <v>24</v>
      </c>
      <c r="E132">
        <v>6.43</v>
      </c>
      <c r="J132">
        <f>E2/E132</f>
        <v>0.77760497667185069</v>
      </c>
    </row>
    <row r="133" spans="1:10" x14ac:dyDescent="0.25">
      <c r="A133">
        <v>5000</v>
      </c>
      <c r="B133" t="s">
        <v>33</v>
      </c>
      <c r="C133" t="s">
        <v>8</v>
      </c>
      <c r="D133" t="s">
        <v>24</v>
      </c>
      <c r="E133">
        <v>42.7</v>
      </c>
      <c r="J133">
        <f>E2/E133</f>
        <v>0.11709601873536299</v>
      </c>
    </row>
    <row r="134" spans="1:10" x14ac:dyDescent="0.25">
      <c r="A134">
        <v>5000</v>
      </c>
      <c r="B134" t="s">
        <v>33</v>
      </c>
      <c r="C134" t="s">
        <v>12</v>
      </c>
      <c r="D134" t="s">
        <v>24</v>
      </c>
      <c r="E134">
        <v>47.44</v>
      </c>
      <c r="J134">
        <f>E2/E134</f>
        <v>0.10539629005059023</v>
      </c>
    </row>
    <row r="135" spans="1:10" x14ac:dyDescent="0.25">
      <c r="A135">
        <v>5000</v>
      </c>
      <c r="B135" t="s">
        <v>33</v>
      </c>
      <c r="C135" t="s">
        <v>31</v>
      </c>
      <c r="D135" t="s">
        <v>24</v>
      </c>
      <c r="E135">
        <v>6.41</v>
      </c>
      <c r="J135">
        <f>E2/E135</f>
        <v>0.78003120124804992</v>
      </c>
    </row>
    <row r="136" spans="1:10" x14ac:dyDescent="0.25">
      <c r="A136">
        <v>5000</v>
      </c>
      <c r="B136" t="s">
        <v>33</v>
      </c>
      <c r="C136" t="s">
        <v>11</v>
      </c>
      <c r="D136" t="s">
        <v>24</v>
      </c>
      <c r="E136">
        <v>18.559999999999999</v>
      </c>
      <c r="J136">
        <f>E2/E136</f>
        <v>0.26939655172413796</v>
      </c>
    </row>
    <row r="137" spans="1:10" x14ac:dyDescent="0.25">
      <c r="A137">
        <v>5000</v>
      </c>
      <c r="B137" t="s">
        <v>35</v>
      </c>
      <c r="C137" t="s">
        <v>5</v>
      </c>
      <c r="D137" t="s">
        <v>24</v>
      </c>
      <c r="E137">
        <v>5.41</v>
      </c>
      <c r="J137">
        <f>E2/E137</f>
        <v>0.92421441774491675</v>
      </c>
    </row>
    <row r="138" spans="1:10" x14ac:dyDescent="0.25">
      <c r="A138">
        <v>5000</v>
      </c>
      <c r="B138" t="s">
        <v>35</v>
      </c>
      <c r="C138" t="s">
        <v>8</v>
      </c>
      <c r="D138" t="s">
        <v>24</v>
      </c>
      <c r="E138">
        <v>5.39</v>
      </c>
      <c r="J138">
        <f>E2/E138</f>
        <v>0.927643784786642</v>
      </c>
    </row>
    <row r="139" spans="1:10" x14ac:dyDescent="0.25">
      <c r="A139">
        <v>5000</v>
      </c>
      <c r="B139" t="s">
        <v>35</v>
      </c>
      <c r="C139" t="s">
        <v>12</v>
      </c>
      <c r="D139" t="s">
        <v>24</v>
      </c>
      <c r="E139">
        <v>50.37</v>
      </c>
      <c r="J139">
        <f>E2/E139</f>
        <v>9.9265435775263061E-2</v>
      </c>
    </row>
    <row r="140" spans="1:10" x14ac:dyDescent="0.25">
      <c r="A140">
        <v>5000</v>
      </c>
      <c r="B140" t="s">
        <v>35</v>
      </c>
      <c r="C140" t="s">
        <v>31</v>
      </c>
      <c r="D140" t="s">
        <v>24</v>
      </c>
      <c r="E140">
        <v>5.34</v>
      </c>
      <c r="J140">
        <f>E2/E140</f>
        <v>0.93632958801498134</v>
      </c>
    </row>
    <row r="141" spans="1:10" x14ac:dyDescent="0.25">
      <c r="A141">
        <v>5000</v>
      </c>
      <c r="B141" t="s">
        <v>35</v>
      </c>
      <c r="C141" t="s">
        <v>36</v>
      </c>
      <c r="D141" t="s">
        <v>24</v>
      </c>
      <c r="E141">
        <v>50.3</v>
      </c>
      <c r="J141">
        <f>E2/E141</f>
        <v>9.9403578528827044E-2</v>
      </c>
    </row>
    <row r="142" spans="1:10" x14ac:dyDescent="0.25">
      <c r="A142">
        <v>10000</v>
      </c>
      <c r="B142" t="s">
        <v>33</v>
      </c>
      <c r="C142" t="s">
        <v>34</v>
      </c>
      <c r="D142" t="s">
        <v>24</v>
      </c>
      <c r="E142">
        <v>41.04</v>
      </c>
      <c r="J142">
        <f>E27/E142</f>
        <v>0.95029239766081874</v>
      </c>
    </row>
    <row r="143" spans="1:10" x14ac:dyDescent="0.25">
      <c r="A143">
        <v>10000</v>
      </c>
      <c r="B143" t="s">
        <v>33</v>
      </c>
      <c r="C143" t="s">
        <v>8</v>
      </c>
      <c r="D143" t="s">
        <v>24</v>
      </c>
      <c r="E143">
        <v>384.89</v>
      </c>
      <c r="J143">
        <f>E27/E143</f>
        <v>0.10132765205643171</v>
      </c>
    </row>
    <row r="144" spans="1:10" x14ac:dyDescent="0.25">
      <c r="A144">
        <v>10000</v>
      </c>
      <c r="B144" t="s">
        <v>33</v>
      </c>
      <c r="C144" t="s">
        <v>12</v>
      </c>
      <c r="D144" t="s">
        <v>24</v>
      </c>
      <c r="E144">
        <v>393.57</v>
      </c>
      <c r="J144">
        <f>E27/E144</f>
        <v>9.9092918667581367E-2</v>
      </c>
    </row>
    <row r="145" spans="1:10" x14ac:dyDescent="0.25">
      <c r="A145">
        <v>10000</v>
      </c>
      <c r="B145" t="s">
        <v>33</v>
      </c>
      <c r="C145" t="s">
        <v>31</v>
      </c>
      <c r="D145" t="s">
        <v>24</v>
      </c>
      <c r="E145">
        <v>41.09</v>
      </c>
      <c r="J145">
        <f>E27/E145</f>
        <v>0.94913604283280595</v>
      </c>
    </row>
    <row r="146" spans="1:10" x14ac:dyDescent="0.25">
      <c r="A146">
        <v>10000</v>
      </c>
      <c r="B146" t="s">
        <v>33</v>
      </c>
      <c r="C146" t="s">
        <v>11</v>
      </c>
      <c r="D146" t="s">
        <v>24</v>
      </c>
      <c r="E146">
        <v>146.33000000000001</v>
      </c>
      <c r="J146">
        <f>E27/E146</f>
        <v>0.26652087746873504</v>
      </c>
    </row>
    <row r="147" spans="1:10" x14ac:dyDescent="0.25">
      <c r="A147">
        <v>10000</v>
      </c>
      <c r="B147" t="s">
        <v>35</v>
      </c>
      <c r="C147" t="s">
        <v>5</v>
      </c>
      <c r="D147" t="s">
        <v>24</v>
      </c>
      <c r="E147">
        <v>41.51</v>
      </c>
      <c r="J147">
        <f>E27/E147</f>
        <v>0.93953264273669002</v>
      </c>
    </row>
    <row r="148" spans="1:10" x14ac:dyDescent="0.25">
      <c r="A148">
        <v>10000</v>
      </c>
      <c r="B148" t="s">
        <v>35</v>
      </c>
      <c r="C148" t="s">
        <v>8</v>
      </c>
      <c r="D148" t="s">
        <v>24</v>
      </c>
      <c r="E148">
        <v>42.69</v>
      </c>
      <c r="J148">
        <f>E27/E148</f>
        <v>0.91356289529163748</v>
      </c>
    </row>
    <row r="149" spans="1:10" x14ac:dyDescent="0.25">
      <c r="A149">
        <v>10000</v>
      </c>
      <c r="B149" t="s">
        <v>35</v>
      </c>
      <c r="C149" t="s">
        <v>12</v>
      </c>
      <c r="D149" t="s">
        <v>24</v>
      </c>
      <c r="E149">
        <v>408.05</v>
      </c>
      <c r="J149">
        <f>E27/E149</f>
        <v>9.5576522484989587E-2</v>
      </c>
    </row>
    <row r="150" spans="1:10" x14ac:dyDescent="0.25">
      <c r="A150">
        <v>10000</v>
      </c>
      <c r="B150" t="s">
        <v>35</v>
      </c>
      <c r="C150" t="s">
        <v>31</v>
      </c>
      <c r="D150" t="s">
        <v>24</v>
      </c>
      <c r="E150">
        <v>40.99</v>
      </c>
      <c r="J150">
        <f>E27/E150</f>
        <v>0.95145157355452548</v>
      </c>
    </row>
    <row r="151" spans="1:10" x14ac:dyDescent="0.25">
      <c r="A151">
        <v>10000</v>
      </c>
      <c r="B151" t="s">
        <v>35</v>
      </c>
      <c r="C151" t="s">
        <v>36</v>
      </c>
      <c r="D151" t="s">
        <v>24</v>
      </c>
      <c r="E151">
        <v>395.6</v>
      </c>
      <c r="J151">
        <f>E27/E151</f>
        <v>9.8584428715874611E-2</v>
      </c>
    </row>
    <row r="152" spans="1:10" x14ac:dyDescent="0.25">
      <c r="A152">
        <v>15000</v>
      </c>
      <c r="B152" t="s">
        <v>33</v>
      </c>
      <c r="C152" t="s">
        <v>34</v>
      </c>
      <c r="D152" t="s">
        <v>24</v>
      </c>
      <c r="E152">
        <v>135.79</v>
      </c>
      <c r="J152">
        <f>E37/E152</f>
        <v>0.95736063038515362</v>
      </c>
    </row>
    <row r="153" spans="1:10" x14ac:dyDescent="0.25">
      <c r="A153">
        <v>15000</v>
      </c>
      <c r="B153" t="s">
        <v>33</v>
      </c>
      <c r="C153" t="s">
        <v>8</v>
      </c>
      <c r="D153" t="s">
        <v>24</v>
      </c>
      <c r="E153">
        <v>1305.52</v>
      </c>
      <c r="J153">
        <f>E37/E154</f>
        <v>9.690355859683647E-2</v>
      </c>
    </row>
    <row r="154" spans="1:10" x14ac:dyDescent="0.25">
      <c r="A154">
        <v>15000</v>
      </c>
      <c r="B154" t="s">
        <v>33</v>
      </c>
      <c r="C154" t="s">
        <v>12</v>
      </c>
      <c r="D154" t="s">
        <v>24</v>
      </c>
      <c r="E154">
        <v>1341.54</v>
      </c>
      <c r="J154">
        <f>E37/E154</f>
        <v>9.690355859683647E-2</v>
      </c>
    </row>
    <row r="155" spans="1:10" x14ac:dyDescent="0.25">
      <c r="A155">
        <v>15000</v>
      </c>
      <c r="B155" t="s">
        <v>33</v>
      </c>
      <c r="C155" t="s">
        <v>31</v>
      </c>
      <c r="D155" t="s">
        <v>24</v>
      </c>
      <c r="E155">
        <v>135.61000000000001</v>
      </c>
      <c r="J155">
        <f>E37/E155</f>
        <v>0.95863136936804061</v>
      </c>
    </row>
    <row r="156" spans="1:10" x14ac:dyDescent="0.25">
      <c r="A156">
        <v>15000</v>
      </c>
      <c r="B156" t="s">
        <v>33</v>
      </c>
      <c r="C156" t="s">
        <v>11</v>
      </c>
      <c r="D156" t="s">
        <v>24</v>
      </c>
      <c r="E156">
        <v>493.35</v>
      </c>
      <c r="J156">
        <f>E37/E156</f>
        <v>0.2635046113306983</v>
      </c>
    </row>
    <row r="157" spans="1:10" x14ac:dyDescent="0.25">
      <c r="A157">
        <v>15000</v>
      </c>
      <c r="B157" t="s">
        <v>35</v>
      </c>
      <c r="C157" t="s">
        <v>5</v>
      </c>
      <c r="D157" t="s">
        <v>24</v>
      </c>
      <c r="E157">
        <v>138.82</v>
      </c>
      <c r="J157">
        <f>E37/E157</f>
        <v>0.93646448638524715</v>
      </c>
    </row>
    <row r="158" spans="1:10" x14ac:dyDescent="0.25">
      <c r="A158">
        <v>15000</v>
      </c>
      <c r="B158" t="s">
        <v>35</v>
      </c>
      <c r="C158" t="s">
        <v>8</v>
      </c>
      <c r="D158" t="s">
        <v>24</v>
      </c>
      <c r="E158">
        <v>141.6</v>
      </c>
      <c r="J158">
        <f>E37/E158</f>
        <v>0.91807909604519777</v>
      </c>
    </row>
    <row r="159" spans="1:10" x14ac:dyDescent="0.25">
      <c r="A159">
        <v>15000</v>
      </c>
      <c r="B159" t="s">
        <v>35</v>
      </c>
      <c r="C159" t="s">
        <v>12</v>
      </c>
      <c r="D159" t="s">
        <v>24</v>
      </c>
      <c r="E159">
        <v>1362.44</v>
      </c>
      <c r="J159">
        <f>E37/E159</f>
        <v>9.5417045888259291E-2</v>
      </c>
    </row>
    <row r="160" spans="1:10" x14ac:dyDescent="0.25">
      <c r="A160">
        <v>15000</v>
      </c>
      <c r="B160" t="s">
        <v>35</v>
      </c>
      <c r="C160" t="s">
        <v>31</v>
      </c>
      <c r="D160" t="s">
        <v>24</v>
      </c>
      <c r="E160">
        <v>136.66999999999999</v>
      </c>
      <c r="J160">
        <f>E37/E160</f>
        <v>0.95119631228506629</v>
      </c>
    </row>
    <row r="161" spans="1:10" x14ac:dyDescent="0.25">
      <c r="A161">
        <v>15000</v>
      </c>
      <c r="B161" t="s">
        <v>35</v>
      </c>
      <c r="C161" t="s">
        <v>36</v>
      </c>
      <c r="D161" t="s">
        <v>24</v>
      </c>
      <c r="E161">
        <v>1348.37</v>
      </c>
      <c r="J161">
        <f>E37/E161</f>
        <v>9.6412705711340363E-2</v>
      </c>
    </row>
    <row r="162" spans="1:10" x14ac:dyDescent="0.25">
      <c r="A162">
        <v>5000</v>
      </c>
      <c r="B162" t="s">
        <v>39</v>
      </c>
      <c r="D162" t="s">
        <v>25</v>
      </c>
      <c r="E162">
        <v>1.303640747</v>
      </c>
      <c r="I162">
        <v>1.1580554199999999</v>
      </c>
      <c r="J162">
        <f>E2/E162</f>
        <v>3.8354124873023778</v>
      </c>
    </row>
    <row r="163" spans="1:10" x14ac:dyDescent="0.25">
      <c r="A163">
        <v>10000</v>
      </c>
      <c r="B163" t="s">
        <v>39</v>
      </c>
      <c r="D163" t="s">
        <v>25</v>
      </c>
      <c r="E163">
        <v>9.948655273</v>
      </c>
      <c r="I163">
        <v>9.3752304689999999</v>
      </c>
      <c r="J163">
        <f>E27/E163</f>
        <v>3.9201277891137156</v>
      </c>
    </row>
    <row r="164" spans="1:10" x14ac:dyDescent="0.25">
      <c r="A164">
        <v>15000</v>
      </c>
      <c r="B164" t="s">
        <v>39</v>
      </c>
      <c r="D164" t="s">
        <v>25</v>
      </c>
      <c r="E164">
        <v>40.334378905999998</v>
      </c>
      <c r="I164">
        <v>39.072910155999999</v>
      </c>
      <c r="J164">
        <f>E37/E164</f>
        <v>3.22305694363033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9E090-87CD-426F-B5E2-2BADFADD74B0}">
  <dimension ref="A1:P94"/>
  <sheetViews>
    <sheetView workbookViewId="0">
      <selection activeCell="E3" sqref="E3"/>
    </sheetView>
  </sheetViews>
  <sheetFormatPr defaultRowHeight="15" x14ac:dyDescent="0.25"/>
  <cols>
    <col min="3" max="3" width="17.85546875" customWidth="1"/>
    <col min="4" max="4" width="19.7109375" customWidth="1"/>
    <col min="6" max="6" width="15.140625" customWidth="1"/>
    <col min="7" max="8" width="17.28515625" customWidth="1"/>
    <col min="9" max="9" width="17.140625" customWidth="1"/>
    <col min="13" max="13" width="26.140625" customWidth="1"/>
    <col min="15" max="15" width="14.42578125" customWidth="1"/>
    <col min="16" max="16" width="27.85546875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7</v>
      </c>
      <c r="F1" s="1" t="s">
        <v>19</v>
      </c>
      <c r="G1" s="1" t="s">
        <v>16</v>
      </c>
      <c r="H1" s="1" t="s">
        <v>14</v>
      </c>
      <c r="I1" s="1" t="s">
        <v>30</v>
      </c>
    </row>
    <row r="2" spans="1:16" x14ac:dyDescent="0.25">
      <c r="A2" s="2">
        <v>5000</v>
      </c>
      <c r="B2" s="2" t="s">
        <v>4</v>
      </c>
      <c r="C2" s="2" t="s">
        <v>5</v>
      </c>
      <c r="D2" s="2" t="s">
        <v>6</v>
      </c>
      <c r="E2" s="2">
        <v>5</v>
      </c>
      <c r="F2" s="2"/>
      <c r="G2" s="2"/>
      <c r="H2" s="2"/>
      <c r="I2" s="2"/>
      <c r="M2" t="s">
        <v>23</v>
      </c>
      <c r="N2" t="s">
        <v>15</v>
      </c>
      <c r="O2">
        <f>MAX(I24:I39)</f>
        <v>7.1428571428571432</v>
      </c>
      <c r="P2" t="s">
        <v>28</v>
      </c>
    </row>
    <row r="3" spans="1:16" x14ac:dyDescent="0.25">
      <c r="A3">
        <v>5000</v>
      </c>
      <c r="B3" t="s">
        <v>4</v>
      </c>
      <c r="C3" t="s">
        <v>9</v>
      </c>
      <c r="D3" t="s">
        <v>6</v>
      </c>
      <c r="E3">
        <v>257</v>
      </c>
      <c r="N3" t="s">
        <v>24</v>
      </c>
    </row>
    <row r="4" spans="1:16" x14ac:dyDescent="0.25">
      <c r="A4">
        <v>5000</v>
      </c>
      <c r="B4" t="s">
        <v>4</v>
      </c>
      <c r="C4" t="s">
        <v>10</v>
      </c>
      <c r="D4" t="s">
        <v>6</v>
      </c>
      <c r="E4">
        <v>68</v>
      </c>
      <c r="N4" t="s">
        <v>25</v>
      </c>
    </row>
    <row r="5" spans="1:16" x14ac:dyDescent="0.25">
      <c r="A5">
        <v>5000</v>
      </c>
      <c r="B5" t="s">
        <v>4</v>
      </c>
      <c r="C5" t="s">
        <v>11</v>
      </c>
      <c r="D5" t="s">
        <v>6</v>
      </c>
      <c r="E5">
        <v>24</v>
      </c>
    </row>
    <row r="6" spans="1:16" x14ac:dyDescent="0.25">
      <c r="A6">
        <v>5000</v>
      </c>
      <c r="B6" t="s">
        <v>4</v>
      </c>
      <c r="C6" t="s">
        <v>12</v>
      </c>
      <c r="D6" t="s">
        <v>6</v>
      </c>
      <c r="E6">
        <v>48</v>
      </c>
      <c r="M6" t="s">
        <v>26</v>
      </c>
      <c r="N6" t="s">
        <v>15</v>
      </c>
      <c r="O6">
        <f>MAX(I40:I63)</f>
        <v>8.2987551867219906</v>
      </c>
      <c r="P6" t="s">
        <v>29</v>
      </c>
    </row>
    <row r="7" spans="1:16" x14ac:dyDescent="0.25">
      <c r="A7">
        <v>5000</v>
      </c>
      <c r="B7" t="s">
        <v>13</v>
      </c>
      <c r="C7" t="s">
        <v>5</v>
      </c>
      <c r="D7" t="s">
        <v>6</v>
      </c>
      <c r="E7">
        <v>5</v>
      </c>
      <c r="N7" t="s">
        <v>24</v>
      </c>
    </row>
    <row r="8" spans="1:16" x14ac:dyDescent="0.25">
      <c r="A8">
        <v>5000</v>
      </c>
      <c r="B8" t="s">
        <v>13</v>
      </c>
      <c r="C8" t="s">
        <v>9</v>
      </c>
      <c r="D8" t="s">
        <v>6</v>
      </c>
      <c r="E8">
        <v>167</v>
      </c>
      <c r="N8" t="s">
        <v>25</v>
      </c>
    </row>
    <row r="9" spans="1:16" x14ac:dyDescent="0.25">
      <c r="A9">
        <v>5000</v>
      </c>
      <c r="B9" t="s">
        <v>13</v>
      </c>
      <c r="C9" t="s">
        <v>10</v>
      </c>
      <c r="D9" t="s">
        <v>6</v>
      </c>
      <c r="E9">
        <v>65</v>
      </c>
    </row>
    <row r="10" spans="1:16" x14ac:dyDescent="0.25">
      <c r="A10">
        <v>5000</v>
      </c>
      <c r="B10" t="s">
        <v>13</v>
      </c>
      <c r="C10" t="s">
        <v>11</v>
      </c>
      <c r="D10" t="s">
        <v>6</v>
      </c>
      <c r="E10">
        <v>50</v>
      </c>
      <c r="M10" t="s">
        <v>27</v>
      </c>
      <c r="N10" t="s">
        <v>15</v>
      </c>
      <c r="O10">
        <f>MAX(I64:I94)</f>
        <v>9.1401489505754903</v>
      </c>
      <c r="P10" t="s">
        <v>29</v>
      </c>
    </row>
    <row r="11" spans="1:16" x14ac:dyDescent="0.25">
      <c r="A11">
        <v>5000</v>
      </c>
      <c r="B11" t="s">
        <v>13</v>
      </c>
      <c r="C11" t="s">
        <v>12</v>
      </c>
      <c r="D11" t="s">
        <v>6</v>
      </c>
      <c r="E11">
        <v>49</v>
      </c>
      <c r="N11" t="s">
        <v>24</v>
      </c>
    </row>
    <row r="12" spans="1:16" x14ac:dyDescent="0.25">
      <c r="A12" s="2">
        <v>10000</v>
      </c>
      <c r="B12" s="2" t="s">
        <v>4</v>
      </c>
      <c r="C12" s="2" t="s">
        <v>5</v>
      </c>
      <c r="D12" s="2" t="s">
        <v>6</v>
      </c>
      <c r="E12" s="2">
        <v>40</v>
      </c>
      <c r="F12" s="2"/>
      <c r="G12" s="2"/>
      <c r="H12" s="2"/>
      <c r="I12" s="2"/>
      <c r="N12" t="s">
        <v>25</v>
      </c>
    </row>
    <row r="13" spans="1:16" x14ac:dyDescent="0.25">
      <c r="A13">
        <v>10000</v>
      </c>
      <c r="B13" t="s">
        <v>4</v>
      </c>
      <c r="C13" t="s">
        <v>11</v>
      </c>
      <c r="D13" t="s">
        <v>6</v>
      </c>
      <c r="E13">
        <v>147</v>
      </c>
    </row>
    <row r="14" spans="1:16" x14ac:dyDescent="0.25">
      <c r="A14">
        <v>10000</v>
      </c>
      <c r="B14" t="s">
        <v>4</v>
      </c>
      <c r="C14" t="s">
        <v>12</v>
      </c>
      <c r="D14" t="s">
        <v>6</v>
      </c>
      <c r="E14">
        <v>402</v>
      </c>
    </row>
    <row r="15" spans="1:16" x14ac:dyDescent="0.25">
      <c r="A15">
        <v>10000</v>
      </c>
      <c r="B15" t="s">
        <v>13</v>
      </c>
      <c r="C15" t="s">
        <v>5</v>
      </c>
      <c r="D15" t="s">
        <v>6</v>
      </c>
      <c r="E15">
        <v>40</v>
      </c>
    </row>
    <row r="16" spans="1:16" x14ac:dyDescent="0.25">
      <c r="A16">
        <v>10000</v>
      </c>
      <c r="B16" t="s">
        <v>13</v>
      </c>
      <c r="C16" t="s">
        <v>11</v>
      </c>
      <c r="D16" t="s">
        <v>6</v>
      </c>
      <c r="E16">
        <v>408</v>
      </c>
    </row>
    <row r="17" spans="1:9" x14ac:dyDescent="0.25">
      <c r="A17">
        <v>10000</v>
      </c>
      <c r="B17" t="s">
        <v>13</v>
      </c>
      <c r="C17" t="s">
        <v>12</v>
      </c>
      <c r="D17" t="s">
        <v>6</v>
      </c>
      <c r="E17">
        <v>407</v>
      </c>
    </row>
    <row r="18" spans="1:9" x14ac:dyDescent="0.25">
      <c r="A18" s="2">
        <v>15000</v>
      </c>
      <c r="B18" s="2" t="s">
        <v>4</v>
      </c>
      <c r="C18" s="2" t="s">
        <v>5</v>
      </c>
      <c r="D18" s="2" t="s">
        <v>6</v>
      </c>
      <c r="E18" s="2">
        <v>135</v>
      </c>
      <c r="F18" s="2"/>
      <c r="G18" s="2"/>
      <c r="H18" s="2"/>
      <c r="I18" s="2"/>
    </row>
    <row r="19" spans="1:9" x14ac:dyDescent="0.25">
      <c r="A19">
        <v>15000</v>
      </c>
      <c r="B19" t="s">
        <v>4</v>
      </c>
      <c r="C19" t="s">
        <v>11</v>
      </c>
      <c r="D19" t="s">
        <v>6</v>
      </c>
      <c r="E19">
        <v>493</v>
      </c>
    </row>
    <row r="20" spans="1:9" x14ac:dyDescent="0.25">
      <c r="A20">
        <v>15000</v>
      </c>
      <c r="B20" t="s">
        <v>4</v>
      </c>
      <c r="C20" t="s">
        <v>12</v>
      </c>
      <c r="D20" t="s">
        <v>6</v>
      </c>
      <c r="E20">
        <v>1365</v>
      </c>
    </row>
    <row r="21" spans="1:9" x14ac:dyDescent="0.25">
      <c r="A21">
        <v>15000</v>
      </c>
      <c r="B21" t="s">
        <v>13</v>
      </c>
      <c r="C21" t="s">
        <v>5</v>
      </c>
      <c r="D21" t="s">
        <v>6</v>
      </c>
      <c r="E21">
        <v>175</v>
      </c>
    </row>
    <row r="22" spans="1:9" x14ac:dyDescent="0.25">
      <c r="A22">
        <v>15000</v>
      </c>
      <c r="B22" t="s">
        <v>13</v>
      </c>
      <c r="C22" t="s">
        <v>11</v>
      </c>
      <c r="D22" t="s">
        <v>6</v>
      </c>
      <c r="E22">
        <v>1358</v>
      </c>
    </row>
    <row r="23" spans="1:9" x14ac:dyDescent="0.25">
      <c r="A23">
        <v>15000</v>
      </c>
      <c r="B23" t="s">
        <v>13</v>
      </c>
      <c r="C23" t="s">
        <v>12</v>
      </c>
      <c r="D23" t="s">
        <v>6</v>
      </c>
      <c r="E23">
        <v>1374</v>
      </c>
    </row>
    <row r="24" spans="1:9" x14ac:dyDescent="0.25">
      <c r="A24">
        <v>5000</v>
      </c>
      <c r="B24" t="s">
        <v>4</v>
      </c>
      <c r="C24" t="s">
        <v>5</v>
      </c>
      <c r="D24" t="s">
        <v>15</v>
      </c>
      <c r="E24">
        <v>0.7</v>
      </c>
      <c r="G24" t="s">
        <v>17</v>
      </c>
      <c r="I24">
        <f>E2/E24</f>
        <v>7.1428571428571432</v>
      </c>
    </row>
    <row r="25" spans="1:9" x14ac:dyDescent="0.25">
      <c r="A25">
        <v>5000</v>
      </c>
      <c r="B25" t="s">
        <v>4</v>
      </c>
      <c r="C25" t="s">
        <v>5</v>
      </c>
      <c r="D25" t="s">
        <v>15</v>
      </c>
      <c r="E25">
        <v>2.16</v>
      </c>
      <c r="G25" t="s">
        <v>18</v>
      </c>
      <c r="I25">
        <f>E2/E25</f>
        <v>2.3148148148148149</v>
      </c>
    </row>
    <row r="26" spans="1:9" x14ac:dyDescent="0.25">
      <c r="A26">
        <v>5000</v>
      </c>
      <c r="B26" t="s">
        <v>4</v>
      </c>
      <c r="C26" t="s">
        <v>8</v>
      </c>
      <c r="D26" t="s">
        <v>15</v>
      </c>
      <c r="E26">
        <v>5.81</v>
      </c>
      <c r="G26" t="s">
        <v>17</v>
      </c>
      <c r="I26">
        <f>E2/E26</f>
        <v>0.86058519793459554</v>
      </c>
    </row>
    <row r="27" spans="1:9" x14ac:dyDescent="0.25">
      <c r="A27">
        <v>5000</v>
      </c>
      <c r="B27" t="s">
        <v>4</v>
      </c>
      <c r="C27" t="s">
        <v>8</v>
      </c>
      <c r="D27" t="s">
        <v>15</v>
      </c>
      <c r="E27">
        <v>1.72</v>
      </c>
      <c r="G27" t="s">
        <v>18</v>
      </c>
      <c r="I27">
        <f>E2/E27</f>
        <v>2.9069767441860463</v>
      </c>
    </row>
    <row r="28" spans="1:9" x14ac:dyDescent="0.25">
      <c r="A28">
        <v>5000</v>
      </c>
      <c r="B28" t="s">
        <v>4</v>
      </c>
      <c r="C28" t="s">
        <v>12</v>
      </c>
      <c r="D28" t="s">
        <v>15</v>
      </c>
      <c r="E28">
        <v>6.54</v>
      </c>
      <c r="G28" t="s">
        <v>17</v>
      </c>
      <c r="I28">
        <f>E2/E28</f>
        <v>0.76452599388379205</v>
      </c>
    </row>
    <row r="29" spans="1:9" x14ac:dyDescent="0.25">
      <c r="A29">
        <v>5000</v>
      </c>
      <c r="B29" t="s">
        <v>4</v>
      </c>
      <c r="C29" t="s">
        <v>12</v>
      </c>
      <c r="D29" t="s">
        <v>15</v>
      </c>
      <c r="E29">
        <v>2.2000000000000002</v>
      </c>
      <c r="G29" t="s">
        <v>18</v>
      </c>
      <c r="I29">
        <f>E2/E29</f>
        <v>2.2727272727272725</v>
      </c>
    </row>
    <row r="30" spans="1:9" x14ac:dyDescent="0.25">
      <c r="A30">
        <v>5000</v>
      </c>
      <c r="B30" t="s">
        <v>4</v>
      </c>
      <c r="C30" t="s">
        <v>11</v>
      </c>
      <c r="D30" t="s">
        <v>15</v>
      </c>
      <c r="E30">
        <v>6.62</v>
      </c>
      <c r="G30" t="s">
        <v>17</v>
      </c>
      <c r="I30">
        <f>E2/E30</f>
        <v>0.75528700906344415</v>
      </c>
    </row>
    <row r="31" spans="1:9" x14ac:dyDescent="0.25">
      <c r="A31">
        <v>5000</v>
      </c>
      <c r="B31" t="s">
        <v>4</v>
      </c>
      <c r="C31" t="s">
        <v>11</v>
      </c>
      <c r="D31" t="s">
        <v>15</v>
      </c>
      <c r="E31">
        <v>2.1</v>
      </c>
      <c r="G31" t="s">
        <v>18</v>
      </c>
      <c r="I31">
        <f>E2/E31</f>
        <v>2.3809523809523809</v>
      </c>
    </row>
    <row r="32" spans="1:9" x14ac:dyDescent="0.25">
      <c r="A32">
        <v>5000</v>
      </c>
      <c r="B32" t="s">
        <v>13</v>
      </c>
      <c r="C32" t="s">
        <v>5</v>
      </c>
      <c r="D32" t="s">
        <v>15</v>
      </c>
      <c r="E32">
        <v>0.92</v>
      </c>
      <c r="G32" t="s">
        <v>17</v>
      </c>
      <c r="I32">
        <f>E2/E32</f>
        <v>5.4347826086956523</v>
      </c>
    </row>
    <row r="33" spans="1:9" x14ac:dyDescent="0.25">
      <c r="A33">
        <v>5000</v>
      </c>
      <c r="B33" t="s">
        <v>13</v>
      </c>
      <c r="C33" t="s">
        <v>5</v>
      </c>
      <c r="D33" t="s">
        <v>15</v>
      </c>
      <c r="E33">
        <v>1.27</v>
      </c>
      <c r="G33" t="s">
        <v>18</v>
      </c>
      <c r="I33">
        <f>E2/E33</f>
        <v>3.9370078740157481</v>
      </c>
    </row>
    <row r="34" spans="1:9" x14ac:dyDescent="0.25">
      <c r="A34">
        <v>5000</v>
      </c>
      <c r="B34" t="s">
        <v>13</v>
      </c>
      <c r="C34" t="s">
        <v>8</v>
      </c>
      <c r="D34" t="s">
        <v>15</v>
      </c>
      <c r="E34">
        <v>0.94</v>
      </c>
      <c r="G34" t="s">
        <v>17</v>
      </c>
      <c r="I34">
        <f>E2/E34</f>
        <v>5.3191489361702127</v>
      </c>
    </row>
    <row r="35" spans="1:9" x14ac:dyDescent="0.25">
      <c r="A35">
        <v>5000</v>
      </c>
      <c r="B35" t="s">
        <v>13</v>
      </c>
      <c r="C35" t="s">
        <v>8</v>
      </c>
      <c r="D35" t="s">
        <v>15</v>
      </c>
      <c r="E35">
        <v>1.84</v>
      </c>
      <c r="G35" t="s">
        <v>18</v>
      </c>
      <c r="I35">
        <f>E2/E35</f>
        <v>2.7173913043478262</v>
      </c>
    </row>
    <row r="36" spans="1:9" x14ac:dyDescent="0.25">
      <c r="A36">
        <v>5000</v>
      </c>
      <c r="B36" t="s">
        <v>13</v>
      </c>
      <c r="C36" t="s">
        <v>12</v>
      </c>
      <c r="D36" t="s">
        <v>15</v>
      </c>
      <c r="E36">
        <v>6.69</v>
      </c>
      <c r="G36" t="s">
        <v>17</v>
      </c>
      <c r="I36">
        <f>E2/E36</f>
        <v>0.74738415545590431</v>
      </c>
    </row>
    <row r="37" spans="1:9" x14ac:dyDescent="0.25">
      <c r="A37">
        <v>5000</v>
      </c>
      <c r="B37" t="s">
        <v>13</v>
      </c>
      <c r="C37" t="s">
        <v>12</v>
      </c>
      <c r="D37" t="s">
        <v>15</v>
      </c>
      <c r="E37">
        <v>3.08</v>
      </c>
      <c r="G37" t="s">
        <v>18</v>
      </c>
      <c r="I37">
        <f>E2/E37</f>
        <v>1.6233766233766234</v>
      </c>
    </row>
    <row r="38" spans="1:9" x14ac:dyDescent="0.25">
      <c r="A38">
        <v>5000</v>
      </c>
      <c r="B38" t="s">
        <v>13</v>
      </c>
      <c r="C38" t="s">
        <v>11</v>
      </c>
      <c r="D38" t="s">
        <v>15</v>
      </c>
      <c r="E38">
        <v>6.68</v>
      </c>
      <c r="G38" t="s">
        <v>17</v>
      </c>
      <c r="I38">
        <f>E2/E38</f>
        <v>0.74850299401197606</v>
      </c>
    </row>
    <row r="39" spans="1:9" x14ac:dyDescent="0.25">
      <c r="A39">
        <v>5000</v>
      </c>
      <c r="B39" t="s">
        <v>13</v>
      </c>
      <c r="C39" t="s">
        <v>11</v>
      </c>
      <c r="D39" t="s">
        <v>15</v>
      </c>
      <c r="E39">
        <v>2.7</v>
      </c>
      <c r="G39" t="s">
        <v>18</v>
      </c>
      <c r="I39">
        <f>E2/E39</f>
        <v>1.8518518518518516</v>
      </c>
    </row>
    <row r="40" spans="1:9" x14ac:dyDescent="0.25">
      <c r="A40">
        <v>10000</v>
      </c>
      <c r="B40" t="s">
        <v>4</v>
      </c>
      <c r="C40" t="s">
        <v>5</v>
      </c>
      <c r="D40" t="s">
        <v>15</v>
      </c>
      <c r="E40">
        <v>4.87</v>
      </c>
      <c r="G40" t="s">
        <v>17</v>
      </c>
      <c r="I40">
        <f>E12/E40</f>
        <v>8.2135523613963031</v>
      </c>
    </row>
    <row r="41" spans="1:9" x14ac:dyDescent="0.25">
      <c r="A41">
        <v>10000</v>
      </c>
      <c r="B41" t="s">
        <v>4</v>
      </c>
      <c r="C41" t="s">
        <v>5</v>
      </c>
      <c r="D41" t="s">
        <v>15</v>
      </c>
      <c r="E41">
        <v>14.65</v>
      </c>
      <c r="G41" t="s">
        <v>18</v>
      </c>
      <c r="I41">
        <f>E12/E41</f>
        <v>2.7303754266211602</v>
      </c>
    </row>
    <row r="42" spans="1:9" x14ac:dyDescent="0.25">
      <c r="A42">
        <v>10000</v>
      </c>
      <c r="B42" t="s">
        <v>4</v>
      </c>
      <c r="C42" t="s">
        <v>8</v>
      </c>
      <c r="D42" t="s">
        <v>15</v>
      </c>
      <c r="E42">
        <v>44.74</v>
      </c>
      <c r="G42" t="s">
        <v>17</v>
      </c>
      <c r="I42">
        <f>E12/E42</f>
        <v>0.89405453732677687</v>
      </c>
    </row>
    <row r="43" spans="1:9" x14ac:dyDescent="0.25">
      <c r="A43">
        <v>10000</v>
      </c>
      <c r="B43" t="s">
        <v>4</v>
      </c>
      <c r="C43" t="s">
        <v>8</v>
      </c>
      <c r="D43" t="s">
        <v>15</v>
      </c>
      <c r="E43">
        <v>11.63</v>
      </c>
      <c r="G43" t="s">
        <v>18</v>
      </c>
      <c r="I43">
        <f>E12/E43</f>
        <v>3.4393809114359413</v>
      </c>
    </row>
    <row r="44" spans="1:9" x14ac:dyDescent="0.25">
      <c r="A44">
        <v>10000</v>
      </c>
      <c r="B44" t="s">
        <v>4</v>
      </c>
      <c r="C44" t="s">
        <v>12</v>
      </c>
      <c r="D44" t="s">
        <v>15</v>
      </c>
      <c r="E44">
        <v>51.15</v>
      </c>
      <c r="G44" t="s">
        <v>17</v>
      </c>
      <c r="I44">
        <f>E12/E44</f>
        <v>0.78201368523949166</v>
      </c>
    </row>
    <row r="45" spans="1:9" x14ac:dyDescent="0.25">
      <c r="A45">
        <v>10000</v>
      </c>
      <c r="B45" t="s">
        <v>4</v>
      </c>
      <c r="C45" t="s">
        <v>12</v>
      </c>
      <c r="D45" t="s">
        <v>15</v>
      </c>
      <c r="E45">
        <v>14.47</v>
      </c>
      <c r="G45" t="s">
        <v>18</v>
      </c>
      <c r="I45">
        <f>E12/E45</f>
        <v>2.7643400138217</v>
      </c>
    </row>
    <row r="46" spans="1:9" x14ac:dyDescent="0.25">
      <c r="A46">
        <v>10000</v>
      </c>
      <c r="B46" t="s">
        <v>4</v>
      </c>
      <c r="C46" t="s">
        <v>11</v>
      </c>
      <c r="D46" t="s">
        <v>15</v>
      </c>
      <c r="E46">
        <v>52.12</v>
      </c>
      <c r="G46" t="s">
        <v>17</v>
      </c>
      <c r="I46">
        <f>E12/E46</f>
        <v>0.76745970836531086</v>
      </c>
    </row>
    <row r="47" spans="1:9" x14ac:dyDescent="0.25">
      <c r="A47">
        <v>10000</v>
      </c>
      <c r="B47" t="s">
        <v>4</v>
      </c>
      <c r="C47" t="s">
        <v>11</v>
      </c>
      <c r="D47" t="s">
        <v>15</v>
      </c>
      <c r="E47">
        <v>15.09</v>
      </c>
      <c r="G47" t="s">
        <v>18</v>
      </c>
      <c r="I47">
        <f>E12/E47</f>
        <v>2.6507620941020544</v>
      </c>
    </row>
    <row r="48" spans="1:9" x14ac:dyDescent="0.25">
      <c r="A48">
        <v>10000</v>
      </c>
      <c r="B48" t="s">
        <v>13</v>
      </c>
      <c r="C48" t="s">
        <v>5</v>
      </c>
      <c r="D48" t="s">
        <v>15</v>
      </c>
      <c r="E48">
        <v>6.12</v>
      </c>
      <c r="G48" t="s">
        <v>17</v>
      </c>
      <c r="I48">
        <f>E12/E48</f>
        <v>6.5359477124183005</v>
      </c>
    </row>
    <row r="49" spans="1:9" x14ac:dyDescent="0.25">
      <c r="A49">
        <v>10000</v>
      </c>
      <c r="B49" t="s">
        <v>13</v>
      </c>
      <c r="C49" t="s">
        <v>5</v>
      </c>
      <c r="D49" t="s">
        <v>15</v>
      </c>
      <c r="E49">
        <v>8.91</v>
      </c>
      <c r="G49" t="s">
        <v>18</v>
      </c>
      <c r="I49">
        <f>E12/E49</f>
        <v>4.489337822671156</v>
      </c>
    </row>
    <row r="50" spans="1:9" x14ac:dyDescent="0.25">
      <c r="A50">
        <v>10000</v>
      </c>
      <c r="B50" t="s">
        <v>13</v>
      </c>
      <c r="C50" t="s">
        <v>8</v>
      </c>
      <c r="D50" t="s">
        <v>15</v>
      </c>
      <c r="E50">
        <v>6.3</v>
      </c>
      <c r="G50" t="s">
        <v>17</v>
      </c>
      <c r="I50">
        <f>E12/E50</f>
        <v>6.3492063492063497</v>
      </c>
    </row>
    <row r="51" spans="1:9" x14ac:dyDescent="0.25">
      <c r="A51">
        <v>10000</v>
      </c>
      <c r="B51" t="s">
        <v>13</v>
      </c>
      <c r="C51" t="s">
        <v>8</v>
      </c>
      <c r="D51" t="s">
        <v>15</v>
      </c>
      <c r="E51">
        <v>12</v>
      </c>
      <c r="G51" t="s">
        <v>18</v>
      </c>
      <c r="I51">
        <f>E12/E51</f>
        <v>3.3333333333333335</v>
      </c>
    </row>
    <row r="52" spans="1:9" x14ac:dyDescent="0.25">
      <c r="A52">
        <v>10000</v>
      </c>
      <c r="B52" t="s">
        <v>13</v>
      </c>
      <c r="C52" t="s">
        <v>12</v>
      </c>
      <c r="D52" t="s">
        <v>15</v>
      </c>
      <c r="E52">
        <v>55.33</v>
      </c>
      <c r="G52" t="s">
        <v>17</v>
      </c>
      <c r="I52">
        <f>E12/E52</f>
        <v>0.72293511657328757</v>
      </c>
    </row>
    <row r="53" spans="1:9" x14ac:dyDescent="0.25">
      <c r="A53">
        <v>10000</v>
      </c>
      <c r="B53" t="s">
        <v>13</v>
      </c>
      <c r="C53" t="s">
        <v>12</v>
      </c>
      <c r="D53" t="s">
        <v>15</v>
      </c>
      <c r="E53">
        <v>22.94</v>
      </c>
      <c r="G53" t="s">
        <v>18</v>
      </c>
      <c r="I53">
        <f>E12/E53</f>
        <v>1.7436791630340016</v>
      </c>
    </row>
    <row r="54" spans="1:9" x14ac:dyDescent="0.25">
      <c r="A54">
        <v>10000</v>
      </c>
      <c r="B54" t="s">
        <v>13</v>
      </c>
      <c r="C54" t="s">
        <v>11</v>
      </c>
      <c r="D54" t="s">
        <v>15</v>
      </c>
      <c r="E54">
        <v>53.12</v>
      </c>
      <c r="G54" t="s">
        <v>17</v>
      </c>
      <c r="I54">
        <f>E12/E54</f>
        <v>0.75301204819277112</v>
      </c>
    </row>
    <row r="55" spans="1:9" x14ac:dyDescent="0.25">
      <c r="A55">
        <v>10000</v>
      </c>
      <c r="B55" t="s">
        <v>13</v>
      </c>
      <c r="C55" t="s">
        <v>11</v>
      </c>
      <c r="D55" t="s">
        <v>15</v>
      </c>
      <c r="E55">
        <v>19.32</v>
      </c>
      <c r="G55" t="s">
        <v>18</v>
      </c>
      <c r="I55">
        <f>E12/E55</f>
        <v>2.0703933747412009</v>
      </c>
    </row>
    <row r="56" spans="1:9" x14ac:dyDescent="0.25">
      <c r="A56">
        <v>10000</v>
      </c>
      <c r="B56" t="s">
        <v>4</v>
      </c>
      <c r="C56" t="s">
        <v>5</v>
      </c>
      <c r="D56" t="s">
        <v>15</v>
      </c>
      <c r="E56">
        <v>4.82</v>
      </c>
      <c r="F56" t="s">
        <v>20</v>
      </c>
      <c r="G56" t="s">
        <v>17</v>
      </c>
      <c r="I56">
        <f>E12/E56</f>
        <v>8.2987551867219906</v>
      </c>
    </row>
    <row r="57" spans="1:9" x14ac:dyDescent="0.25">
      <c r="A57">
        <v>10000</v>
      </c>
      <c r="B57" t="s">
        <v>4</v>
      </c>
      <c r="C57" t="s">
        <v>5</v>
      </c>
      <c r="D57" t="s">
        <v>15</v>
      </c>
      <c r="E57">
        <v>44.7</v>
      </c>
      <c r="F57" t="s">
        <v>21</v>
      </c>
      <c r="G57" t="s">
        <v>17</v>
      </c>
      <c r="I57">
        <f>E12/E57</f>
        <v>0.89485458612975388</v>
      </c>
    </row>
    <row r="58" spans="1:9" x14ac:dyDescent="0.25">
      <c r="A58">
        <v>10000</v>
      </c>
      <c r="B58" t="s">
        <v>13</v>
      </c>
      <c r="C58" t="s">
        <v>5</v>
      </c>
      <c r="D58" t="s">
        <v>15</v>
      </c>
      <c r="E58">
        <v>6.27</v>
      </c>
      <c r="F58" t="s">
        <v>20</v>
      </c>
      <c r="G58" t="s">
        <v>17</v>
      </c>
      <c r="I58">
        <f>E12/E58</f>
        <v>6.3795853269537481</v>
      </c>
    </row>
    <row r="59" spans="1:9" x14ac:dyDescent="0.25">
      <c r="A59">
        <v>10000</v>
      </c>
      <c r="B59" t="s">
        <v>13</v>
      </c>
      <c r="C59" t="s">
        <v>5</v>
      </c>
      <c r="D59" t="s">
        <v>15</v>
      </c>
      <c r="E59">
        <v>6.19</v>
      </c>
      <c r="F59" t="s">
        <v>21</v>
      </c>
      <c r="G59" t="s">
        <v>17</v>
      </c>
      <c r="I59">
        <f>E12/E59</f>
        <v>6.4620355411954762</v>
      </c>
    </row>
    <row r="60" spans="1:9" x14ac:dyDescent="0.25">
      <c r="A60">
        <v>10000</v>
      </c>
      <c r="B60" t="s">
        <v>4</v>
      </c>
      <c r="C60" t="s">
        <v>8</v>
      </c>
      <c r="D60" t="s">
        <v>15</v>
      </c>
      <c r="E60">
        <v>11.93</v>
      </c>
      <c r="F60" t="s">
        <v>20</v>
      </c>
      <c r="G60" t="s">
        <v>18</v>
      </c>
      <c r="I60">
        <f>E12/E60</f>
        <v>3.3528918692372174</v>
      </c>
    </row>
    <row r="61" spans="1:9" x14ac:dyDescent="0.25">
      <c r="A61">
        <v>10000</v>
      </c>
      <c r="B61" t="s">
        <v>4</v>
      </c>
      <c r="C61" t="s">
        <v>8</v>
      </c>
      <c r="D61" t="s">
        <v>15</v>
      </c>
      <c r="E61">
        <v>10.92</v>
      </c>
      <c r="F61" t="s">
        <v>21</v>
      </c>
      <c r="G61" t="s">
        <v>18</v>
      </c>
      <c r="I61">
        <f>E12/E61</f>
        <v>3.6630036630036629</v>
      </c>
    </row>
    <row r="62" spans="1:9" x14ac:dyDescent="0.25">
      <c r="A62">
        <v>10000</v>
      </c>
      <c r="B62" t="s">
        <v>13</v>
      </c>
      <c r="C62" t="s">
        <v>5</v>
      </c>
      <c r="D62" t="s">
        <v>15</v>
      </c>
      <c r="E62">
        <v>9.0299999999999994</v>
      </c>
      <c r="F62" t="s">
        <v>20</v>
      </c>
      <c r="G62" t="s">
        <v>18</v>
      </c>
      <c r="I62">
        <f>E12/E62</f>
        <v>4.4296788482834994</v>
      </c>
    </row>
    <row r="63" spans="1:9" x14ac:dyDescent="0.25">
      <c r="A63">
        <v>10000</v>
      </c>
      <c r="B63" t="s">
        <v>13</v>
      </c>
      <c r="C63" t="s">
        <v>5</v>
      </c>
      <c r="D63" t="s">
        <v>15</v>
      </c>
      <c r="E63">
        <v>8.82</v>
      </c>
      <c r="F63" t="s">
        <v>21</v>
      </c>
      <c r="G63" t="s">
        <v>18</v>
      </c>
      <c r="I63">
        <f>E12/E63</f>
        <v>4.5351473922902494</v>
      </c>
    </row>
    <row r="64" spans="1:9" x14ac:dyDescent="0.25">
      <c r="A64">
        <v>15000</v>
      </c>
      <c r="B64" t="s">
        <v>4</v>
      </c>
      <c r="C64" t="s">
        <v>5</v>
      </c>
      <c r="D64" t="s">
        <v>15</v>
      </c>
      <c r="E64">
        <v>15.06</v>
      </c>
      <c r="G64" t="s">
        <v>17</v>
      </c>
      <c r="I64">
        <f>E18/E64</f>
        <v>8.9641434262948199</v>
      </c>
    </row>
    <row r="65" spans="1:9" x14ac:dyDescent="0.25">
      <c r="A65">
        <v>15000</v>
      </c>
      <c r="B65" t="s">
        <v>4</v>
      </c>
      <c r="C65" t="s">
        <v>5</v>
      </c>
      <c r="D65" t="s">
        <v>15</v>
      </c>
      <c r="E65">
        <v>50</v>
      </c>
      <c r="G65" t="s">
        <v>18</v>
      </c>
      <c r="I65">
        <f>E18/E65</f>
        <v>2.7</v>
      </c>
    </row>
    <row r="66" spans="1:9" x14ac:dyDescent="0.25">
      <c r="A66">
        <v>15000</v>
      </c>
      <c r="B66" t="s">
        <v>4</v>
      </c>
      <c r="C66" t="s">
        <v>8</v>
      </c>
      <c r="D66" t="s">
        <v>15</v>
      </c>
      <c r="E66">
        <v>148.62</v>
      </c>
      <c r="G66" t="s">
        <v>17</v>
      </c>
      <c r="I66">
        <f>E18/E66</f>
        <v>0.90835688332660469</v>
      </c>
    </row>
    <row r="67" spans="1:9" x14ac:dyDescent="0.25">
      <c r="A67">
        <v>15000</v>
      </c>
      <c r="B67" t="s">
        <v>4</v>
      </c>
      <c r="C67" t="s">
        <v>8</v>
      </c>
      <c r="D67" t="s">
        <v>15</v>
      </c>
      <c r="E67">
        <v>40.58</v>
      </c>
      <c r="G67" t="s">
        <v>18</v>
      </c>
      <c r="I67">
        <f>E18/E67</f>
        <v>3.3267619517003451</v>
      </c>
    </row>
    <row r="68" spans="1:9" x14ac:dyDescent="0.25">
      <c r="A68">
        <v>15000</v>
      </c>
      <c r="B68" t="s">
        <v>4</v>
      </c>
      <c r="C68" t="s">
        <v>12</v>
      </c>
      <c r="D68" t="s">
        <v>15</v>
      </c>
      <c r="E68">
        <v>176.82</v>
      </c>
      <c r="G68" t="s">
        <v>17</v>
      </c>
      <c r="I68">
        <f>E18/E68</f>
        <v>0.76348829317950462</v>
      </c>
    </row>
    <row r="69" spans="1:9" x14ac:dyDescent="0.25">
      <c r="A69">
        <v>15000</v>
      </c>
      <c r="B69" t="s">
        <v>4</v>
      </c>
      <c r="C69" t="s">
        <v>12</v>
      </c>
      <c r="D69" t="s">
        <v>15</v>
      </c>
      <c r="E69">
        <v>48.14</v>
      </c>
      <c r="G69" t="s">
        <v>18</v>
      </c>
      <c r="I69">
        <f>E18/E69</f>
        <v>2.8043207312006646</v>
      </c>
    </row>
    <row r="70" spans="1:9" x14ac:dyDescent="0.25">
      <c r="A70">
        <v>15000</v>
      </c>
      <c r="B70" t="s">
        <v>4</v>
      </c>
      <c r="C70" t="s">
        <v>11</v>
      </c>
      <c r="D70" t="s">
        <v>15</v>
      </c>
      <c r="E70">
        <v>181.31</v>
      </c>
      <c r="G70" t="s">
        <v>17</v>
      </c>
      <c r="I70">
        <f>E18/E70</f>
        <v>0.74458110418620038</v>
      </c>
    </row>
    <row r="71" spans="1:9" x14ac:dyDescent="0.25">
      <c r="A71">
        <v>15000</v>
      </c>
      <c r="B71" t="s">
        <v>4</v>
      </c>
      <c r="C71" t="s">
        <v>11</v>
      </c>
      <c r="D71" t="s">
        <v>15</v>
      </c>
      <c r="E71">
        <v>50.2</v>
      </c>
      <c r="G71" t="s">
        <v>18</v>
      </c>
      <c r="I71">
        <f>E18/E71</f>
        <v>2.689243027888446</v>
      </c>
    </row>
    <row r="72" spans="1:9" x14ac:dyDescent="0.25">
      <c r="A72">
        <v>15000</v>
      </c>
      <c r="B72" t="s">
        <v>13</v>
      </c>
      <c r="C72" t="s">
        <v>5</v>
      </c>
      <c r="D72" t="s">
        <v>15</v>
      </c>
      <c r="E72">
        <v>19.25</v>
      </c>
      <c r="G72" t="s">
        <v>17</v>
      </c>
      <c r="I72">
        <f>E18/E72</f>
        <v>7.0129870129870131</v>
      </c>
    </row>
    <row r="73" spans="1:9" x14ac:dyDescent="0.25">
      <c r="A73">
        <v>15000</v>
      </c>
      <c r="B73" t="s">
        <v>13</v>
      </c>
      <c r="C73" t="s">
        <v>5</v>
      </c>
      <c r="D73" t="s">
        <v>15</v>
      </c>
      <c r="E73">
        <v>29.21</v>
      </c>
      <c r="G73" t="s">
        <v>18</v>
      </c>
      <c r="I73">
        <f>E18/E73</f>
        <v>4.6217048955837043</v>
      </c>
    </row>
    <row r="74" spans="1:9" x14ac:dyDescent="0.25">
      <c r="A74">
        <v>15000</v>
      </c>
      <c r="B74" t="s">
        <v>13</v>
      </c>
      <c r="C74" t="s">
        <v>8</v>
      </c>
      <c r="D74" t="s">
        <v>15</v>
      </c>
      <c r="E74">
        <v>19.690000000000001</v>
      </c>
      <c r="G74" t="s">
        <v>17</v>
      </c>
      <c r="I74">
        <f>E18/E74</f>
        <v>6.8562722194007106</v>
      </c>
    </row>
    <row r="75" spans="1:9" x14ac:dyDescent="0.25">
      <c r="A75">
        <v>15000</v>
      </c>
      <c r="B75" t="s">
        <v>13</v>
      </c>
      <c r="C75" t="s">
        <v>8</v>
      </c>
      <c r="D75" t="s">
        <v>15</v>
      </c>
      <c r="E75">
        <v>41.96</v>
      </c>
      <c r="G75" t="s">
        <v>18</v>
      </c>
      <c r="I75">
        <f>E18/E75</f>
        <v>3.2173498570066728</v>
      </c>
    </row>
    <row r="76" spans="1:9" x14ac:dyDescent="0.25">
      <c r="A76">
        <v>15000</v>
      </c>
      <c r="B76" t="s">
        <v>13</v>
      </c>
      <c r="C76" t="s">
        <v>12</v>
      </c>
      <c r="D76" t="s">
        <v>15</v>
      </c>
      <c r="E76">
        <v>179.25</v>
      </c>
      <c r="G76" t="s">
        <v>17</v>
      </c>
      <c r="I76">
        <f>E18/E76</f>
        <v>0.7531380753138075</v>
      </c>
    </row>
    <row r="77" spans="1:9" x14ac:dyDescent="0.25">
      <c r="A77">
        <v>15000</v>
      </c>
      <c r="B77" t="s">
        <v>13</v>
      </c>
      <c r="C77" t="s">
        <v>12</v>
      </c>
      <c r="D77" t="s">
        <v>15</v>
      </c>
      <c r="E77">
        <v>65.67</v>
      </c>
      <c r="G77" t="s">
        <v>18</v>
      </c>
      <c r="I77">
        <f>E18/E77</f>
        <v>2.0557332115121061</v>
      </c>
    </row>
    <row r="78" spans="1:9" x14ac:dyDescent="0.25">
      <c r="A78">
        <v>15000</v>
      </c>
      <c r="B78" t="s">
        <v>13</v>
      </c>
      <c r="C78" t="s">
        <v>11</v>
      </c>
      <c r="D78" t="s">
        <v>15</v>
      </c>
      <c r="E78">
        <v>181.59</v>
      </c>
      <c r="G78" t="s">
        <v>17</v>
      </c>
      <c r="I78">
        <f>E18/E78</f>
        <v>0.74343300842557403</v>
      </c>
    </row>
    <row r="79" spans="1:9" x14ac:dyDescent="0.25">
      <c r="A79">
        <v>15000</v>
      </c>
      <c r="B79" t="s">
        <v>13</v>
      </c>
      <c r="C79" t="s">
        <v>11</v>
      </c>
      <c r="D79" t="s">
        <v>15</v>
      </c>
      <c r="E79">
        <v>78.78</v>
      </c>
      <c r="G79" t="s">
        <v>18</v>
      </c>
      <c r="I79">
        <f>E18/E79</f>
        <v>1.7136329017517136</v>
      </c>
    </row>
    <row r="80" spans="1:9" x14ac:dyDescent="0.25">
      <c r="A80">
        <v>15000</v>
      </c>
      <c r="B80" t="s">
        <v>4</v>
      </c>
      <c r="C80" t="s">
        <v>5</v>
      </c>
      <c r="D80" t="s">
        <v>15</v>
      </c>
      <c r="E80">
        <v>14.77</v>
      </c>
      <c r="F80" t="s">
        <v>20</v>
      </c>
      <c r="G80" t="s">
        <v>17</v>
      </c>
      <c r="I80">
        <f>E18/E80</f>
        <v>9.1401489505754903</v>
      </c>
    </row>
    <row r="81" spans="1:9" x14ac:dyDescent="0.25">
      <c r="A81">
        <v>15000</v>
      </c>
      <c r="B81" t="s">
        <v>4</v>
      </c>
      <c r="C81" t="s">
        <v>5</v>
      </c>
      <c r="D81" t="s">
        <v>15</v>
      </c>
      <c r="E81">
        <v>149.04</v>
      </c>
      <c r="F81" t="s">
        <v>21</v>
      </c>
      <c r="G81" t="s">
        <v>17</v>
      </c>
      <c r="I81">
        <f>E18/E81</f>
        <v>0.90579710144927539</v>
      </c>
    </row>
    <row r="82" spans="1:9" x14ac:dyDescent="0.25">
      <c r="A82">
        <v>15000</v>
      </c>
      <c r="B82" t="s">
        <v>13</v>
      </c>
      <c r="C82" t="s">
        <v>5</v>
      </c>
      <c r="D82" t="s">
        <v>15</v>
      </c>
      <c r="E82">
        <v>20.079999999999998</v>
      </c>
      <c r="F82" t="s">
        <v>20</v>
      </c>
      <c r="G82" t="s">
        <v>17</v>
      </c>
      <c r="I82">
        <f>E18/E82</f>
        <v>6.7231075697211162</v>
      </c>
    </row>
    <row r="83" spans="1:9" x14ac:dyDescent="0.25">
      <c r="A83">
        <v>15000</v>
      </c>
      <c r="B83" t="s">
        <v>13</v>
      </c>
      <c r="C83" t="s">
        <v>5</v>
      </c>
      <c r="D83" t="s">
        <v>15</v>
      </c>
      <c r="E83">
        <v>20.02</v>
      </c>
      <c r="F83" t="s">
        <v>21</v>
      </c>
      <c r="G83" t="s">
        <v>17</v>
      </c>
      <c r="I83">
        <f>E18/E83</f>
        <v>6.743256743256743</v>
      </c>
    </row>
    <row r="84" spans="1:9" x14ac:dyDescent="0.25">
      <c r="A84">
        <v>15000</v>
      </c>
      <c r="B84" t="s">
        <v>4</v>
      </c>
      <c r="C84" t="s">
        <v>8</v>
      </c>
      <c r="D84" t="s">
        <v>15</v>
      </c>
      <c r="E84">
        <v>41.48</v>
      </c>
      <c r="F84" t="s">
        <v>20</v>
      </c>
      <c r="G84" t="s">
        <v>18</v>
      </c>
      <c r="I84">
        <f>E18/E84</f>
        <v>3.2545805207328837</v>
      </c>
    </row>
    <row r="85" spans="1:9" x14ac:dyDescent="0.25">
      <c r="A85">
        <v>15000</v>
      </c>
      <c r="B85" t="s">
        <v>4</v>
      </c>
      <c r="C85" t="s">
        <v>8</v>
      </c>
      <c r="D85" t="s">
        <v>15</v>
      </c>
      <c r="E85">
        <v>49.19</v>
      </c>
      <c r="F85" t="s">
        <v>21</v>
      </c>
      <c r="G85" t="s">
        <v>18</v>
      </c>
      <c r="I85">
        <f>E18/E85</f>
        <v>2.7444602561496239</v>
      </c>
    </row>
    <row r="86" spans="1:9" x14ac:dyDescent="0.25">
      <c r="A86">
        <v>15000</v>
      </c>
      <c r="B86" t="s">
        <v>13</v>
      </c>
      <c r="C86" t="s">
        <v>5</v>
      </c>
      <c r="D86" t="s">
        <v>15</v>
      </c>
      <c r="E86">
        <v>29.51</v>
      </c>
      <c r="F86" t="s">
        <v>20</v>
      </c>
      <c r="G86" t="s">
        <v>18</v>
      </c>
      <c r="I86">
        <f>E18/E86</f>
        <v>4.5747204337512706</v>
      </c>
    </row>
    <row r="87" spans="1:9" x14ac:dyDescent="0.25">
      <c r="A87">
        <v>15000</v>
      </c>
      <c r="B87" t="s">
        <v>13</v>
      </c>
      <c r="C87" t="s">
        <v>5</v>
      </c>
      <c r="D87" t="s">
        <v>15</v>
      </c>
      <c r="E87">
        <v>29.62</v>
      </c>
      <c r="F87" t="s">
        <v>21</v>
      </c>
      <c r="G87" t="s">
        <v>18</v>
      </c>
      <c r="I87">
        <f>E18/E87</f>
        <v>4.5577312626603641</v>
      </c>
    </row>
    <row r="88" spans="1:9" x14ac:dyDescent="0.25">
      <c r="A88">
        <v>15000</v>
      </c>
      <c r="B88" t="s">
        <v>4</v>
      </c>
      <c r="C88" t="s">
        <v>5</v>
      </c>
      <c r="D88" t="s">
        <v>15</v>
      </c>
      <c r="E88">
        <v>135.83000000000001</v>
      </c>
      <c r="G88" t="s">
        <v>17</v>
      </c>
      <c r="H88">
        <v>1</v>
      </c>
      <c r="I88">
        <f>E18/E88</f>
        <v>0.99388942059927843</v>
      </c>
    </row>
    <row r="89" spans="1:9" x14ac:dyDescent="0.25">
      <c r="A89">
        <v>15000</v>
      </c>
      <c r="B89" t="s">
        <v>4</v>
      </c>
      <c r="C89" t="s">
        <v>5</v>
      </c>
      <c r="D89" t="s">
        <v>15</v>
      </c>
      <c r="E89">
        <v>75.33</v>
      </c>
      <c r="G89" t="s">
        <v>17</v>
      </c>
      <c r="H89">
        <v>2</v>
      </c>
      <c r="I89">
        <f>E18/E89</f>
        <v>1.7921146953405018</v>
      </c>
    </row>
    <row r="90" spans="1:9" x14ac:dyDescent="0.25">
      <c r="A90">
        <v>15000</v>
      </c>
      <c r="B90" t="s">
        <v>4</v>
      </c>
      <c r="C90" t="s">
        <v>5</v>
      </c>
      <c r="D90" t="s">
        <v>15</v>
      </c>
      <c r="E90">
        <v>35.19</v>
      </c>
      <c r="G90" t="s">
        <v>17</v>
      </c>
      <c r="H90">
        <v>4</v>
      </c>
      <c r="I90">
        <f>E18/E90</f>
        <v>3.8363171355498724</v>
      </c>
    </row>
    <row r="91" spans="1:9" x14ac:dyDescent="0.25">
      <c r="A91">
        <v>15000</v>
      </c>
      <c r="B91" t="s">
        <v>4</v>
      </c>
      <c r="C91" t="s">
        <v>5</v>
      </c>
      <c r="D91" t="s">
        <v>15</v>
      </c>
      <c r="E91">
        <v>21.57</v>
      </c>
      <c r="G91" t="s">
        <v>17</v>
      </c>
      <c r="H91">
        <v>8</v>
      </c>
      <c r="I91">
        <f>E18/E91</f>
        <v>6.2586926286509037</v>
      </c>
    </row>
    <row r="92" spans="1:9" x14ac:dyDescent="0.25">
      <c r="A92">
        <v>15000</v>
      </c>
      <c r="B92" t="s">
        <v>4</v>
      </c>
      <c r="C92" t="s">
        <v>5</v>
      </c>
      <c r="D92" t="s">
        <v>15</v>
      </c>
      <c r="E92">
        <v>17.22</v>
      </c>
      <c r="G92" t="s">
        <v>17</v>
      </c>
      <c r="H92">
        <v>16</v>
      </c>
      <c r="I92">
        <f>E18/E92</f>
        <v>7.8397212543554016</v>
      </c>
    </row>
    <row r="93" spans="1:9" x14ac:dyDescent="0.25">
      <c r="A93">
        <v>15000</v>
      </c>
      <c r="B93" t="s">
        <v>4</v>
      </c>
      <c r="C93" t="s">
        <v>5</v>
      </c>
      <c r="D93" t="s">
        <v>15</v>
      </c>
      <c r="E93">
        <v>15.4</v>
      </c>
      <c r="G93" t="s">
        <v>17</v>
      </c>
      <c r="H93">
        <v>24</v>
      </c>
      <c r="I93">
        <f>E18/E93</f>
        <v>8.7662337662337659</v>
      </c>
    </row>
    <row r="94" spans="1:9" x14ac:dyDescent="0.25">
      <c r="A94">
        <v>15000</v>
      </c>
      <c r="B94" t="s">
        <v>4</v>
      </c>
      <c r="C94" t="s">
        <v>5</v>
      </c>
      <c r="D94" t="s">
        <v>15</v>
      </c>
      <c r="E94">
        <v>16.91</v>
      </c>
      <c r="G94" t="s">
        <v>17</v>
      </c>
      <c r="H94">
        <v>32</v>
      </c>
      <c r="I94">
        <f>E18/E94</f>
        <v>7.9834417504435242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WK007</vt:lpstr>
      <vt:lpstr>WK008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Caviglia</dc:creator>
  <cp:lastModifiedBy>Sara Caviglia</cp:lastModifiedBy>
  <dcterms:created xsi:type="dcterms:W3CDTF">2026-08-03T13:43:04Z</dcterms:created>
  <dcterms:modified xsi:type="dcterms:W3CDTF">2026-08-06T15:14:30Z</dcterms:modified>
</cp:coreProperties>
</file>