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064bda473745c9/Documenti/GitHub/High-Performance-Computing-project/"/>
    </mc:Choice>
  </mc:AlternateContent>
  <xr:revisionPtr revIDLastSave="959" documentId="8_{BF6E0229-5829-4C83-9BBC-58DCAFED2F7D}" xr6:coauthVersionLast="47" xr6:coauthVersionMax="47" xr10:uidLastSave="{AFDB9A49-EFEF-4DF2-A4D4-9688882FAE76}"/>
  <bookViews>
    <workbookView xWindow="-120" yWindow="-120" windowWidth="29040" windowHeight="15720" activeTab="1" xr2:uid="{674D654E-F57A-44BF-8654-EF23F1E7188E}"/>
  </bookViews>
  <sheets>
    <sheet name="WK007" sheetId="1" r:id="rId1"/>
    <sheet name="WK00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" i="2" l="1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O6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O2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O10" i="1"/>
  <c r="O6" i="1"/>
  <c r="O2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</calcChain>
</file>

<file path=xl/sharedStrings.xml><?xml version="1.0" encoding="utf-8"?>
<sst xmlns="http://schemas.openxmlformats.org/spreadsheetml/2006/main" count="822" uniqueCount="32">
  <si>
    <t>n</t>
  </si>
  <si>
    <t>Compiler</t>
  </si>
  <si>
    <t>Optimization flag</t>
  </si>
  <si>
    <t>Method (or baseline)</t>
  </si>
  <si>
    <t>icc</t>
  </si>
  <si>
    <t>fast</t>
  </si>
  <si>
    <t>baseline</t>
  </si>
  <si>
    <t>Time (s)</t>
  </si>
  <si>
    <t>host</t>
  </si>
  <si>
    <t>O0</t>
  </si>
  <si>
    <t>O1</t>
  </si>
  <si>
    <t>O3</t>
  </si>
  <si>
    <t>O2</t>
  </si>
  <si>
    <t>icx</t>
  </si>
  <si>
    <t>Number of threads</t>
  </si>
  <si>
    <t>OpenMP</t>
  </si>
  <si>
    <t>Standard or Tiled</t>
  </si>
  <si>
    <t>standard</t>
  </si>
  <si>
    <t>tiled</t>
  </si>
  <si>
    <t>fp-model</t>
  </si>
  <si>
    <t>fast-math</t>
  </si>
  <si>
    <t>precise</t>
  </si>
  <si>
    <t>Speed up</t>
  </si>
  <si>
    <t>Maximum speedup n5000</t>
  </si>
  <si>
    <t>MPI</t>
  </si>
  <si>
    <t>CUDA</t>
  </si>
  <si>
    <t>icx host precise standard</t>
  </si>
  <si>
    <t>Maximum speedup n10000</t>
  </si>
  <si>
    <t>Maximum speedup n15000</t>
  </si>
  <si>
    <t>icc fast standard</t>
  </si>
  <si>
    <t>icc fast fast-math standard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</si>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</sst>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FC70-5187-461C-B4C6-97043A58D014}">
  <dimension ref="A1:P105"/>
  <sheetViews>
    <sheetView workbookViewId="0">
      <selection activeCell="M2" sqref="M2:P12"/>
    </sheetView>
  </sheetViews>
  <sheetFormatPr defaultRowHeight="15" x14ac:dyDescent="0.25"/>
  <cols>
    <col min="3" max="3" width="17.85546875" customWidth="1"/>
    <col min="4" max="4" width="19.7109375" customWidth="1"/>
    <col min="6" max="6" width="15.140625" customWidth="1"/>
    <col min="7" max="8" width="17.28515625" customWidth="1"/>
    <col min="9" max="9" width="16.42578125" customWidth="1"/>
    <col min="13" max="13" width="24.140625" customWidth="1"/>
    <col min="14" max="14" width="11.28515625" customWidth="1"/>
    <col min="16" max="16" width="2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19</v>
      </c>
      <c r="G1" s="1" t="s">
        <v>16</v>
      </c>
      <c r="H1" s="1" t="s">
        <v>14</v>
      </c>
      <c r="I1" s="1" t="s">
        <v>22</v>
      </c>
    </row>
    <row r="2" spans="1:16" x14ac:dyDescent="0.25">
      <c r="A2" s="2">
        <v>5000</v>
      </c>
      <c r="B2" s="2" t="s">
        <v>4</v>
      </c>
      <c r="C2" s="2" t="s">
        <v>5</v>
      </c>
      <c r="D2" s="2" t="s">
        <v>6</v>
      </c>
      <c r="E2" s="2">
        <v>5</v>
      </c>
      <c r="F2" s="2"/>
      <c r="G2" s="2"/>
      <c r="H2" s="2"/>
      <c r="I2" s="2"/>
      <c r="M2" t="s">
        <v>23</v>
      </c>
      <c r="N2" t="s">
        <v>15</v>
      </c>
      <c r="O2">
        <f>MAX(I34:I57)</f>
        <v>6.024096385542169</v>
      </c>
      <c r="P2" t="s">
        <v>26</v>
      </c>
    </row>
    <row r="3" spans="1:16" x14ac:dyDescent="0.25">
      <c r="A3">
        <v>5000</v>
      </c>
      <c r="B3" t="s">
        <v>4</v>
      </c>
      <c r="C3" t="s">
        <v>8</v>
      </c>
      <c r="D3" t="s">
        <v>6</v>
      </c>
      <c r="E3">
        <v>48</v>
      </c>
      <c r="N3" t="s">
        <v>24</v>
      </c>
    </row>
    <row r="4" spans="1:16" x14ac:dyDescent="0.25">
      <c r="A4">
        <v>5000</v>
      </c>
      <c r="B4" t="s">
        <v>4</v>
      </c>
      <c r="C4" t="s">
        <v>9</v>
      </c>
      <c r="D4" t="s">
        <v>6</v>
      </c>
      <c r="E4">
        <v>256</v>
      </c>
      <c r="N4" t="s">
        <v>25</v>
      </c>
    </row>
    <row r="5" spans="1:16" x14ac:dyDescent="0.25">
      <c r="A5">
        <v>5000</v>
      </c>
      <c r="B5" t="s">
        <v>4</v>
      </c>
      <c r="C5" t="s">
        <v>10</v>
      </c>
      <c r="D5" t="s">
        <v>6</v>
      </c>
      <c r="E5">
        <v>69</v>
      </c>
    </row>
    <row r="6" spans="1:16" x14ac:dyDescent="0.25">
      <c r="A6">
        <v>5000</v>
      </c>
      <c r="B6" t="s">
        <v>4</v>
      </c>
      <c r="C6" t="s">
        <v>11</v>
      </c>
      <c r="D6" t="s">
        <v>6</v>
      </c>
      <c r="E6">
        <v>19</v>
      </c>
      <c r="M6" t="s">
        <v>27</v>
      </c>
      <c r="N6" t="s">
        <v>15</v>
      </c>
      <c r="O6">
        <f>MAX(I58:I81)</f>
        <v>8.4210526315789469</v>
      </c>
      <c r="P6" t="s">
        <v>29</v>
      </c>
    </row>
    <row r="7" spans="1:16" x14ac:dyDescent="0.25">
      <c r="A7">
        <v>5000</v>
      </c>
      <c r="B7" t="s">
        <v>4</v>
      </c>
      <c r="C7" t="s">
        <v>12</v>
      </c>
      <c r="D7" t="s">
        <v>6</v>
      </c>
      <c r="E7">
        <v>50</v>
      </c>
      <c r="N7" t="s">
        <v>24</v>
      </c>
    </row>
    <row r="8" spans="1:16" x14ac:dyDescent="0.25">
      <c r="A8">
        <v>5000</v>
      </c>
      <c r="B8" t="s">
        <v>13</v>
      </c>
      <c r="C8" t="s">
        <v>5</v>
      </c>
      <c r="D8" t="s">
        <v>6</v>
      </c>
      <c r="E8">
        <v>6</v>
      </c>
      <c r="N8" t="s">
        <v>25</v>
      </c>
    </row>
    <row r="9" spans="1:16" x14ac:dyDescent="0.25">
      <c r="A9">
        <v>5000</v>
      </c>
      <c r="B9" t="s">
        <v>13</v>
      </c>
      <c r="C9" t="s">
        <v>8</v>
      </c>
      <c r="D9" t="s">
        <v>6</v>
      </c>
      <c r="E9">
        <v>6</v>
      </c>
    </row>
    <row r="10" spans="1:16" x14ac:dyDescent="0.25">
      <c r="A10">
        <v>5000</v>
      </c>
      <c r="B10" t="s">
        <v>13</v>
      </c>
      <c r="C10" t="s">
        <v>9</v>
      </c>
      <c r="D10" t="s">
        <v>6</v>
      </c>
      <c r="E10">
        <v>167</v>
      </c>
      <c r="M10" t="s">
        <v>28</v>
      </c>
      <c r="N10" t="s">
        <v>15</v>
      </c>
      <c r="O10">
        <f>MAX(I82:I105)</f>
        <v>8.778877887788779</v>
      </c>
      <c r="P10" t="s">
        <v>30</v>
      </c>
    </row>
    <row r="11" spans="1:16" x14ac:dyDescent="0.25">
      <c r="A11">
        <v>5000</v>
      </c>
      <c r="B11" t="s">
        <v>13</v>
      </c>
      <c r="C11" t="s">
        <v>10</v>
      </c>
      <c r="D11" t="s">
        <v>6</v>
      </c>
      <c r="E11">
        <v>65</v>
      </c>
      <c r="N11" t="s">
        <v>24</v>
      </c>
    </row>
    <row r="12" spans="1:16" x14ac:dyDescent="0.25">
      <c r="A12">
        <v>5000</v>
      </c>
      <c r="B12" t="s">
        <v>13</v>
      </c>
      <c r="C12" t="s">
        <v>11</v>
      </c>
      <c r="D12" t="s">
        <v>6</v>
      </c>
      <c r="E12">
        <v>50</v>
      </c>
      <c r="N12" t="s">
        <v>25</v>
      </c>
    </row>
    <row r="13" spans="1:16" x14ac:dyDescent="0.25">
      <c r="A13">
        <v>5000</v>
      </c>
      <c r="B13" t="s">
        <v>13</v>
      </c>
      <c r="C13" t="s">
        <v>12</v>
      </c>
      <c r="D13" t="s">
        <v>6</v>
      </c>
      <c r="E13">
        <v>51</v>
      </c>
    </row>
    <row r="14" spans="1:16" x14ac:dyDescent="0.25">
      <c r="A14" s="2">
        <v>10000</v>
      </c>
      <c r="B14" s="2" t="s">
        <v>4</v>
      </c>
      <c r="C14" s="2" t="s">
        <v>5</v>
      </c>
      <c r="D14" s="2" t="s">
        <v>6</v>
      </c>
      <c r="E14" s="2">
        <v>40</v>
      </c>
      <c r="F14" s="2"/>
      <c r="G14" s="2"/>
      <c r="H14" s="2"/>
      <c r="I14" s="2"/>
    </row>
    <row r="15" spans="1:16" x14ac:dyDescent="0.25">
      <c r="A15">
        <v>10000</v>
      </c>
      <c r="B15" t="s">
        <v>4</v>
      </c>
      <c r="C15" t="s">
        <v>8</v>
      </c>
      <c r="D15" t="s">
        <v>6</v>
      </c>
      <c r="E15">
        <v>368</v>
      </c>
    </row>
    <row r="16" spans="1:16" x14ac:dyDescent="0.25">
      <c r="A16">
        <v>10000</v>
      </c>
      <c r="B16" t="s">
        <v>4</v>
      </c>
      <c r="C16" t="s">
        <v>9</v>
      </c>
      <c r="D16" t="s">
        <v>6</v>
      </c>
      <c r="E16">
        <v>2066</v>
      </c>
    </row>
    <row r="17" spans="1:9" x14ac:dyDescent="0.25">
      <c r="A17">
        <v>10000</v>
      </c>
      <c r="B17" t="s">
        <v>4</v>
      </c>
      <c r="C17" t="s">
        <v>10</v>
      </c>
      <c r="D17" t="s">
        <v>6</v>
      </c>
      <c r="E17">
        <v>532</v>
      </c>
    </row>
    <row r="18" spans="1:9" x14ac:dyDescent="0.25">
      <c r="A18">
        <v>10000</v>
      </c>
      <c r="B18" t="s">
        <v>4</v>
      </c>
      <c r="C18" t="s">
        <v>11</v>
      </c>
      <c r="D18" t="s">
        <v>6</v>
      </c>
      <c r="E18">
        <v>184</v>
      </c>
    </row>
    <row r="19" spans="1:9" x14ac:dyDescent="0.25">
      <c r="A19">
        <v>10000</v>
      </c>
      <c r="B19" t="s">
        <v>4</v>
      </c>
      <c r="C19" t="s">
        <v>12</v>
      </c>
      <c r="D19" t="s">
        <v>6</v>
      </c>
      <c r="E19">
        <v>385</v>
      </c>
    </row>
    <row r="20" spans="1:9" x14ac:dyDescent="0.25">
      <c r="A20">
        <v>10000</v>
      </c>
      <c r="B20" t="s">
        <v>13</v>
      </c>
      <c r="C20" t="s">
        <v>5</v>
      </c>
      <c r="D20" t="s">
        <v>6</v>
      </c>
      <c r="E20">
        <v>41</v>
      </c>
    </row>
    <row r="21" spans="1:9" x14ac:dyDescent="0.25">
      <c r="A21">
        <v>10000</v>
      </c>
      <c r="B21" t="s">
        <v>13</v>
      </c>
      <c r="C21" t="s">
        <v>8</v>
      </c>
      <c r="D21" t="s">
        <v>6</v>
      </c>
      <c r="E21">
        <v>44</v>
      </c>
    </row>
    <row r="22" spans="1:9" x14ac:dyDescent="0.25">
      <c r="A22">
        <v>10000</v>
      </c>
      <c r="B22" t="s">
        <v>13</v>
      </c>
      <c r="C22" t="s">
        <v>9</v>
      </c>
      <c r="D22" t="s">
        <v>6</v>
      </c>
      <c r="E22">
        <v>1336</v>
      </c>
    </row>
    <row r="23" spans="1:9" x14ac:dyDescent="0.25">
      <c r="A23">
        <v>10000</v>
      </c>
      <c r="B23" t="s">
        <v>13</v>
      </c>
      <c r="C23" t="s">
        <v>10</v>
      </c>
      <c r="D23" t="s">
        <v>6</v>
      </c>
      <c r="E23">
        <v>522</v>
      </c>
    </row>
    <row r="24" spans="1:9" x14ac:dyDescent="0.25">
      <c r="A24">
        <v>10000</v>
      </c>
      <c r="B24" t="s">
        <v>13</v>
      </c>
      <c r="C24" t="s">
        <v>11</v>
      </c>
      <c r="D24" t="s">
        <v>6</v>
      </c>
      <c r="E24">
        <v>406</v>
      </c>
    </row>
    <row r="25" spans="1:9" x14ac:dyDescent="0.25">
      <c r="A25">
        <v>10000</v>
      </c>
      <c r="B25" t="s">
        <v>13</v>
      </c>
      <c r="C25" t="s">
        <v>12</v>
      </c>
      <c r="D25" t="s">
        <v>6</v>
      </c>
      <c r="E25">
        <v>407</v>
      </c>
    </row>
    <row r="26" spans="1:9" x14ac:dyDescent="0.25">
      <c r="A26">
        <v>15000</v>
      </c>
      <c r="B26" t="s">
        <v>4</v>
      </c>
      <c r="C26" t="s">
        <v>5</v>
      </c>
      <c r="D26" t="s">
        <v>6</v>
      </c>
      <c r="E26">
        <v>134</v>
      </c>
    </row>
    <row r="27" spans="1:9" x14ac:dyDescent="0.25">
      <c r="A27">
        <v>15000</v>
      </c>
      <c r="B27" t="s">
        <v>4</v>
      </c>
      <c r="C27" t="s">
        <v>8</v>
      </c>
      <c r="D27" t="s">
        <v>6</v>
      </c>
      <c r="E27">
        <v>1313</v>
      </c>
    </row>
    <row r="28" spans="1:9" x14ac:dyDescent="0.25">
      <c r="A28">
        <v>15000</v>
      </c>
      <c r="B28" t="s">
        <v>4</v>
      </c>
      <c r="C28" t="s">
        <v>11</v>
      </c>
      <c r="D28" t="s">
        <v>6</v>
      </c>
      <c r="E28">
        <v>498</v>
      </c>
    </row>
    <row r="29" spans="1:9" x14ac:dyDescent="0.25">
      <c r="A29">
        <v>15000</v>
      </c>
      <c r="B29" t="s">
        <v>4</v>
      </c>
      <c r="C29" t="s">
        <v>12</v>
      </c>
      <c r="D29" t="s">
        <v>6</v>
      </c>
      <c r="E29">
        <v>1329</v>
      </c>
    </row>
    <row r="30" spans="1:9" x14ac:dyDescent="0.25">
      <c r="A30" s="2">
        <v>15000</v>
      </c>
      <c r="B30" s="2" t="s">
        <v>13</v>
      </c>
      <c r="C30" s="2" t="s">
        <v>5</v>
      </c>
      <c r="D30" s="2" t="s">
        <v>6</v>
      </c>
      <c r="E30" s="2">
        <v>133</v>
      </c>
      <c r="F30" s="2"/>
      <c r="G30" s="2"/>
      <c r="H30" s="2"/>
      <c r="I30" s="2"/>
    </row>
    <row r="31" spans="1:9" x14ac:dyDescent="0.25">
      <c r="A31">
        <v>15000</v>
      </c>
      <c r="B31" t="s">
        <v>13</v>
      </c>
      <c r="C31" t="s">
        <v>8</v>
      </c>
      <c r="D31" t="s">
        <v>6</v>
      </c>
      <c r="E31">
        <v>145</v>
      </c>
    </row>
    <row r="32" spans="1:9" x14ac:dyDescent="0.25">
      <c r="A32">
        <v>15000</v>
      </c>
      <c r="B32" t="s">
        <v>13</v>
      </c>
      <c r="C32" t="s">
        <v>11</v>
      </c>
      <c r="D32" t="s">
        <v>6</v>
      </c>
      <c r="E32">
        <v>1372</v>
      </c>
    </row>
    <row r="33" spans="1:9" x14ac:dyDescent="0.25">
      <c r="A33">
        <v>15000</v>
      </c>
      <c r="B33" t="s">
        <v>13</v>
      </c>
      <c r="C33" t="s">
        <v>12</v>
      </c>
      <c r="D33" t="s">
        <v>6</v>
      </c>
      <c r="E33">
        <v>1374</v>
      </c>
    </row>
    <row r="34" spans="1:9" x14ac:dyDescent="0.25">
      <c r="A34">
        <v>5000</v>
      </c>
      <c r="B34" t="s">
        <v>4</v>
      </c>
      <c r="C34" t="s">
        <v>5</v>
      </c>
      <c r="D34" t="s">
        <v>15</v>
      </c>
      <c r="E34">
        <v>0.84</v>
      </c>
      <c r="G34" t="s">
        <v>17</v>
      </c>
      <c r="I34">
        <f>E2/E34</f>
        <v>5.9523809523809526</v>
      </c>
    </row>
    <row r="35" spans="1:9" x14ac:dyDescent="0.25">
      <c r="A35">
        <v>5000</v>
      </c>
      <c r="B35" t="s">
        <v>4</v>
      </c>
      <c r="C35" t="s">
        <v>5</v>
      </c>
      <c r="D35" t="s">
        <v>15</v>
      </c>
      <c r="E35">
        <v>2.09</v>
      </c>
      <c r="G35" t="s">
        <v>18</v>
      </c>
      <c r="I35">
        <f>E2/E35</f>
        <v>2.3923444976076556</v>
      </c>
    </row>
    <row r="36" spans="1:9" x14ac:dyDescent="0.25">
      <c r="A36">
        <v>5000</v>
      </c>
      <c r="B36" t="s">
        <v>4</v>
      </c>
      <c r="C36" t="s">
        <v>8</v>
      </c>
      <c r="D36" t="s">
        <v>15</v>
      </c>
      <c r="E36">
        <v>5.65</v>
      </c>
      <c r="G36" t="s">
        <v>17</v>
      </c>
      <c r="I36">
        <f>E2/E36</f>
        <v>0.88495575221238931</v>
      </c>
    </row>
    <row r="37" spans="1:9" x14ac:dyDescent="0.25">
      <c r="A37">
        <v>5000</v>
      </c>
      <c r="B37" t="s">
        <v>4</v>
      </c>
      <c r="C37" t="s">
        <v>8</v>
      </c>
      <c r="D37" t="s">
        <v>15</v>
      </c>
      <c r="E37">
        <v>1.71</v>
      </c>
      <c r="G37" t="s">
        <v>18</v>
      </c>
      <c r="I37">
        <f>E2/E37</f>
        <v>2.9239766081871346</v>
      </c>
    </row>
    <row r="38" spans="1:9" x14ac:dyDescent="0.25">
      <c r="A38">
        <v>5000</v>
      </c>
      <c r="B38" t="s">
        <v>4</v>
      </c>
      <c r="C38" t="s">
        <v>12</v>
      </c>
      <c r="D38" t="s">
        <v>15</v>
      </c>
      <c r="E38">
        <v>6.57</v>
      </c>
      <c r="G38" t="s">
        <v>17</v>
      </c>
      <c r="I38">
        <f>E2/E38</f>
        <v>0.76103500761035003</v>
      </c>
    </row>
    <row r="39" spans="1:9" x14ac:dyDescent="0.25">
      <c r="A39">
        <v>5000</v>
      </c>
      <c r="B39" t="s">
        <v>4</v>
      </c>
      <c r="C39" t="s">
        <v>12</v>
      </c>
      <c r="D39" t="s">
        <v>15</v>
      </c>
      <c r="E39">
        <v>2.2400000000000002</v>
      </c>
      <c r="G39" t="s">
        <v>18</v>
      </c>
      <c r="I39">
        <f>E2/E39</f>
        <v>2.2321428571428568</v>
      </c>
    </row>
    <row r="40" spans="1:9" x14ac:dyDescent="0.25">
      <c r="A40">
        <v>5000</v>
      </c>
      <c r="B40" t="s">
        <v>4</v>
      </c>
      <c r="C40" t="s">
        <v>11</v>
      </c>
      <c r="D40" t="s">
        <v>15</v>
      </c>
      <c r="E40">
        <v>6.86</v>
      </c>
      <c r="G40" t="s">
        <v>17</v>
      </c>
      <c r="I40">
        <f>E2/E40</f>
        <v>0.7288629737609329</v>
      </c>
    </row>
    <row r="41" spans="1:9" x14ac:dyDescent="0.25">
      <c r="A41">
        <v>5000</v>
      </c>
      <c r="B41" t="s">
        <v>4</v>
      </c>
      <c r="C41" t="s">
        <v>11</v>
      </c>
      <c r="D41" t="s">
        <v>15</v>
      </c>
      <c r="E41">
        <v>2.09</v>
      </c>
      <c r="G41" t="s">
        <v>18</v>
      </c>
      <c r="I41">
        <f>E2/E41</f>
        <v>2.3923444976076556</v>
      </c>
    </row>
    <row r="42" spans="1:9" x14ac:dyDescent="0.25">
      <c r="A42">
        <v>5000</v>
      </c>
      <c r="B42" t="s">
        <v>13</v>
      </c>
      <c r="C42" t="s">
        <v>5</v>
      </c>
      <c r="D42" t="s">
        <v>15</v>
      </c>
      <c r="E42">
        <v>0.89</v>
      </c>
      <c r="G42" t="s">
        <v>17</v>
      </c>
      <c r="I42">
        <f>E2/E42</f>
        <v>5.6179775280898872</v>
      </c>
    </row>
    <row r="43" spans="1:9" x14ac:dyDescent="0.25">
      <c r="A43">
        <v>5000</v>
      </c>
      <c r="B43" t="s">
        <v>13</v>
      </c>
      <c r="C43" t="s">
        <v>5</v>
      </c>
      <c r="D43" t="s">
        <v>15</v>
      </c>
      <c r="E43">
        <v>1.32</v>
      </c>
      <c r="G43" t="s">
        <v>18</v>
      </c>
      <c r="I43">
        <f>E2/E43</f>
        <v>3.7878787878787876</v>
      </c>
    </row>
    <row r="44" spans="1:9" x14ac:dyDescent="0.25">
      <c r="A44">
        <v>5000</v>
      </c>
      <c r="B44" t="s">
        <v>13</v>
      </c>
      <c r="C44" t="s">
        <v>8</v>
      </c>
      <c r="D44" t="s">
        <v>15</v>
      </c>
      <c r="E44">
        <v>1</v>
      </c>
      <c r="G44" t="s">
        <v>17</v>
      </c>
      <c r="I44">
        <f>E2/E44</f>
        <v>5</v>
      </c>
    </row>
    <row r="45" spans="1:9" x14ac:dyDescent="0.25">
      <c r="A45">
        <v>5000</v>
      </c>
      <c r="B45" t="s">
        <v>13</v>
      </c>
      <c r="C45" t="s">
        <v>8</v>
      </c>
      <c r="D45" t="s">
        <v>15</v>
      </c>
      <c r="E45">
        <v>1.85</v>
      </c>
      <c r="G45" t="s">
        <v>18</v>
      </c>
      <c r="I45">
        <f>E2/E45</f>
        <v>2.7027027027027026</v>
      </c>
    </row>
    <row r="46" spans="1:9" x14ac:dyDescent="0.25">
      <c r="A46">
        <v>5000</v>
      </c>
      <c r="B46" t="s">
        <v>13</v>
      </c>
      <c r="C46" t="s">
        <v>12</v>
      </c>
      <c r="D46" t="s">
        <v>15</v>
      </c>
      <c r="E46">
        <v>6.73</v>
      </c>
      <c r="G46" t="s">
        <v>17</v>
      </c>
      <c r="I46">
        <f>E2/E46</f>
        <v>0.74294205052005935</v>
      </c>
    </row>
    <row r="47" spans="1:9" x14ac:dyDescent="0.25">
      <c r="A47">
        <v>5000</v>
      </c>
      <c r="B47" t="s">
        <v>13</v>
      </c>
      <c r="C47" t="s">
        <v>12</v>
      </c>
      <c r="D47" t="s">
        <v>15</v>
      </c>
      <c r="E47">
        <v>3.2</v>
      </c>
      <c r="G47" t="s">
        <v>18</v>
      </c>
      <c r="I47">
        <f>E2/E47</f>
        <v>1.5625</v>
      </c>
    </row>
    <row r="48" spans="1:9" x14ac:dyDescent="0.25">
      <c r="A48">
        <v>5000</v>
      </c>
      <c r="B48" t="s">
        <v>13</v>
      </c>
      <c r="C48" t="s">
        <v>11</v>
      </c>
      <c r="D48" t="s">
        <v>15</v>
      </c>
      <c r="E48">
        <v>6.82</v>
      </c>
      <c r="G48" t="s">
        <v>17</v>
      </c>
      <c r="I48">
        <f>E2/E48</f>
        <v>0.73313782991202348</v>
      </c>
    </row>
    <row r="49" spans="1:9" x14ac:dyDescent="0.25">
      <c r="A49">
        <v>5000</v>
      </c>
      <c r="B49" t="s">
        <v>13</v>
      </c>
      <c r="C49" t="s">
        <v>11</v>
      </c>
      <c r="D49" t="s">
        <v>15</v>
      </c>
      <c r="E49">
        <v>2.77</v>
      </c>
      <c r="G49" t="s">
        <v>18</v>
      </c>
      <c r="I49">
        <f>E2/E49</f>
        <v>1.8050541516245486</v>
      </c>
    </row>
    <row r="50" spans="1:9" x14ac:dyDescent="0.25">
      <c r="A50">
        <v>5000</v>
      </c>
      <c r="B50" t="s">
        <v>4</v>
      </c>
      <c r="C50" t="s">
        <v>8</v>
      </c>
      <c r="D50" t="s">
        <v>15</v>
      </c>
      <c r="E50">
        <v>5.7</v>
      </c>
      <c r="F50" t="s">
        <v>20</v>
      </c>
      <c r="G50" t="s">
        <v>17</v>
      </c>
      <c r="I50">
        <f>E2/E50</f>
        <v>0.8771929824561403</v>
      </c>
    </row>
    <row r="51" spans="1:9" x14ac:dyDescent="0.25">
      <c r="A51">
        <v>5000</v>
      </c>
      <c r="B51" t="s">
        <v>4</v>
      </c>
      <c r="C51" t="s">
        <v>8</v>
      </c>
      <c r="D51" t="s">
        <v>15</v>
      </c>
      <c r="E51">
        <v>5.51</v>
      </c>
      <c r="F51" t="s">
        <v>21</v>
      </c>
      <c r="G51" t="s">
        <v>17</v>
      </c>
      <c r="I51">
        <f>E2/E51</f>
        <v>0.90744101633393837</v>
      </c>
    </row>
    <row r="52" spans="1:9" x14ac:dyDescent="0.25">
      <c r="A52">
        <v>5000</v>
      </c>
      <c r="B52" t="s">
        <v>13</v>
      </c>
      <c r="C52" t="s">
        <v>8</v>
      </c>
      <c r="D52" t="s">
        <v>15</v>
      </c>
      <c r="E52">
        <v>0.93</v>
      </c>
      <c r="F52" t="s">
        <v>20</v>
      </c>
      <c r="G52" t="s">
        <v>17</v>
      </c>
      <c r="I52">
        <f>E2/E52</f>
        <v>5.376344086021505</v>
      </c>
    </row>
    <row r="53" spans="1:9" x14ac:dyDescent="0.25">
      <c r="A53">
        <v>5000</v>
      </c>
      <c r="B53" t="s">
        <v>13</v>
      </c>
      <c r="C53" t="s">
        <v>8</v>
      </c>
      <c r="D53" t="s">
        <v>15</v>
      </c>
      <c r="E53">
        <v>0.83</v>
      </c>
      <c r="F53" t="s">
        <v>21</v>
      </c>
      <c r="G53" t="s">
        <v>17</v>
      </c>
      <c r="I53">
        <f>E2/E53</f>
        <v>6.024096385542169</v>
      </c>
    </row>
    <row r="54" spans="1:9" x14ac:dyDescent="0.25">
      <c r="A54">
        <v>5000</v>
      </c>
      <c r="B54" t="s">
        <v>4</v>
      </c>
      <c r="C54" t="s">
        <v>8</v>
      </c>
      <c r="D54" t="s">
        <v>15</v>
      </c>
      <c r="E54">
        <v>1.72</v>
      </c>
      <c r="F54" t="s">
        <v>20</v>
      </c>
      <c r="G54" t="s">
        <v>18</v>
      </c>
      <c r="I54">
        <f>E2/E54</f>
        <v>2.9069767441860463</v>
      </c>
    </row>
    <row r="55" spans="1:9" x14ac:dyDescent="0.25">
      <c r="A55">
        <v>5000</v>
      </c>
      <c r="B55" t="s">
        <v>4</v>
      </c>
      <c r="C55" t="s">
        <v>8</v>
      </c>
      <c r="D55" t="s">
        <v>15</v>
      </c>
      <c r="E55">
        <v>1.61</v>
      </c>
      <c r="F55" t="s">
        <v>21</v>
      </c>
      <c r="G55" t="s">
        <v>18</v>
      </c>
      <c r="I55">
        <f>E2/E55</f>
        <v>3.1055900621118009</v>
      </c>
    </row>
    <row r="56" spans="1:9" x14ac:dyDescent="0.25">
      <c r="A56">
        <v>5000</v>
      </c>
      <c r="B56" t="s">
        <v>13</v>
      </c>
      <c r="C56" t="s">
        <v>5</v>
      </c>
      <c r="D56" t="s">
        <v>15</v>
      </c>
      <c r="E56">
        <v>1.29</v>
      </c>
      <c r="F56" t="s">
        <v>20</v>
      </c>
      <c r="G56" t="s">
        <v>18</v>
      </c>
      <c r="I56">
        <f>E2/E56</f>
        <v>3.8759689922480618</v>
      </c>
    </row>
    <row r="57" spans="1:9" x14ac:dyDescent="0.25">
      <c r="A57">
        <v>5000</v>
      </c>
      <c r="B57" t="s">
        <v>13</v>
      </c>
      <c r="C57" t="s">
        <v>5</v>
      </c>
      <c r="D57" t="s">
        <v>15</v>
      </c>
      <c r="E57">
        <v>1.3</v>
      </c>
      <c r="F57" t="s">
        <v>21</v>
      </c>
      <c r="G57" t="s">
        <v>18</v>
      </c>
      <c r="I57">
        <f>E2/E57</f>
        <v>3.8461538461538458</v>
      </c>
    </row>
    <row r="58" spans="1:9" x14ac:dyDescent="0.25">
      <c r="A58">
        <v>10000</v>
      </c>
      <c r="B58" t="s">
        <v>4</v>
      </c>
      <c r="C58" t="s">
        <v>5</v>
      </c>
      <c r="D58" t="s">
        <v>15</v>
      </c>
      <c r="E58">
        <v>4.75</v>
      </c>
      <c r="G58" t="s">
        <v>17</v>
      </c>
      <c r="I58">
        <f>E14/E58</f>
        <v>8.4210526315789469</v>
      </c>
    </row>
    <row r="59" spans="1:9" x14ac:dyDescent="0.25">
      <c r="A59">
        <v>10000</v>
      </c>
      <c r="B59" t="s">
        <v>4</v>
      </c>
      <c r="C59" t="s">
        <v>5</v>
      </c>
      <c r="D59" t="s">
        <v>15</v>
      </c>
      <c r="E59">
        <v>14.73</v>
      </c>
      <c r="G59" t="s">
        <v>18</v>
      </c>
      <c r="I59">
        <f>E14/E59</f>
        <v>2.7155465037338762</v>
      </c>
    </row>
    <row r="60" spans="1:9" x14ac:dyDescent="0.25">
      <c r="A60">
        <v>10000</v>
      </c>
      <c r="B60" t="s">
        <v>4</v>
      </c>
      <c r="C60" t="s">
        <v>8</v>
      </c>
      <c r="D60" t="s">
        <v>15</v>
      </c>
      <c r="E60">
        <v>48.56</v>
      </c>
      <c r="G60" t="s">
        <v>17</v>
      </c>
      <c r="I60">
        <f>E14/E60</f>
        <v>0.82372322899505768</v>
      </c>
    </row>
    <row r="61" spans="1:9" x14ac:dyDescent="0.25">
      <c r="A61">
        <v>10000</v>
      </c>
      <c r="B61" t="s">
        <v>4</v>
      </c>
      <c r="C61" t="s">
        <v>8</v>
      </c>
      <c r="D61" t="s">
        <v>15</v>
      </c>
      <c r="E61">
        <v>11.8</v>
      </c>
      <c r="G61" t="s">
        <v>18</v>
      </c>
      <c r="I61">
        <f>E14/E61</f>
        <v>3.3898305084745761</v>
      </c>
    </row>
    <row r="62" spans="1:9" x14ac:dyDescent="0.25">
      <c r="A62">
        <v>10000</v>
      </c>
      <c r="B62" t="s">
        <v>4</v>
      </c>
      <c r="C62" t="s">
        <v>12</v>
      </c>
      <c r="D62" t="s">
        <v>15</v>
      </c>
      <c r="E62">
        <v>52.2</v>
      </c>
      <c r="G62" t="s">
        <v>17</v>
      </c>
      <c r="I62">
        <f>E14/E62</f>
        <v>0.76628352490421447</v>
      </c>
    </row>
    <row r="63" spans="1:9" x14ac:dyDescent="0.25">
      <c r="A63">
        <v>10000</v>
      </c>
      <c r="B63" t="s">
        <v>4</v>
      </c>
      <c r="C63" t="s">
        <v>12</v>
      </c>
      <c r="D63" t="s">
        <v>15</v>
      </c>
      <c r="E63">
        <v>14.89</v>
      </c>
      <c r="G63" t="s">
        <v>18</v>
      </c>
      <c r="I63">
        <f>E14/E63</f>
        <v>2.6863666890530555</v>
      </c>
    </row>
    <row r="64" spans="1:9" x14ac:dyDescent="0.25">
      <c r="A64">
        <v>10000</v>
      </c>
      <c r="B64" t="s">
        <v>4</v>
      </c>
      <c r="C64" t="s">
        <v>11</v>
      </c>
      <c r="D64" t="s">
        <v>15</v>
      </c>
      <c r="E64">
        <v>52.32</v>
      </c>
      <c r="G64" t="s">
        <v>17</v>
      </c>
      <c r="I64">
        <f>E14/E64</f>
        <v>0.76452599388379205</v>
      </c>
    </row>
    <row r="65" spans="1:9" x14ac:dyDescent="0.25">
      <c r="A65">
        <v>10000</v>
      </c>
      <c r="B65" t="s">
        <v>4</v>
      </c>
      <c r="C65" t="s">
        <v>11</v>
      </c>
      <c r="D65" t="s">
        <v>15</v>
      </c>
      <c r="E65">
        <v>14.28</v>
      </c>
      <c r="G65" t="s">
        <v>18</v>
      </c>
      <c r="I65">
        <f>E14/E65</f>
        <v>2.801120448179272</v>
      </c>
    </row>
    <row r="66" spans="1:9" x14ac:dyDescent="0.25">
      <c r="A66">
        <v>10000</v>
      </c>
      <c r="B66" t="s">
        <v>13</v>
      </c>
      <c r="C66" t="s">
        <v>5</v>
      </c>
      <c r="D66" t="s">
        <v>15</v>
      </c>
      <c r="E66">
        <v>6.28</v>
      </c>
      <c r="G66" t="s">
        <v>17</v>
      </c>
      <c r="I66">
        <f>E14/E66</f>
        <v>6.3694267515923562</v>
      </c>
    </row>
    <row r="67" spans="1:9" x14ac:dyDescent="0.25">
      <c r="A67">
        <v>10000</v>
      </c>
      <c r="B67" t="s">
        <v>13</v>
      </c>
      <c r="C67" t="s">
        <v>5</v>
      </c>
      <c r="D67" t="s">
        <v>15</v>
      </c>
      <c r="E67">
        <v>8.75</v>
      </c>
      <c r="G67" t="s">
        <v>18</v>
      </c>
      <c r="I67">
        <f>E14/E67</f>
        <v>4.5714285714285712</v>
      </c>
    </row>
    <row r="68" spans="1:9" x14ac:dyDescent="0.25">
      <c r="A68">
        <v>10000</v>
      </c>
      <c r="B68" t="s">
        <v>13</v>
      </c>
      <c r="C68" t="s">
        <v>8</v>
      </c>
      <c r="D68" t="s">
        <v>15</v>
      </c>
      <c r="E68">
        <v>6.73</v>
      </c>
      <c r="G68" t="s">
        <v>17</v>
      </c>
      <c r="I68">
        <f>E14/E68</f>
        <v>5.9435364041604748</v>
      </c>
    </row>
    <row r="69" spans="1:9" x14ac:dyDescent="0.25">
      <c r="A69">
        <v>10000</v>
      </c>
      <c r="B69" t="s">
        <v>13</v>
      </c>
      <c r="C69" t="s">
        <v>8</v>
      </c>
      <c r="D69" t="s">
        <v>15</v>
      </c>
      <c r="E69">
        <v>12.11</v>
      </c>
      <c r="G69" t="s">
        <v>18</v>
      </c>
      <c r="I69">
        <f>E14/E69</f>
        <v>3.3030553261767137</v>
      </c>
    </row>
    <row r="70" spans="1:9" x14ac:dyDescent="0.25">
      <c r="A70">
        <v>10000</v>
      </c>
      <c r="B70" t="s">
        <v>13</v>
      </c>
      <c r="C70" t="s">
        <v>12</v>
      </c>
      <c r="D70" t="s">
        <v>15</v>
      </c>
      <c r="E70">
        <v>56.27</v>
      </c>
      <c r="G70" t="s">
        <v>17</v>
      </c>
      <c r="I70">
        <f>E14/E70</f>
        <v>0.71085836147147674</v>
      </c>
    </row>
    <row r="71" spans="1:9" x14ac:dyDescent="0.25">
      <c r="A71">
        <v>10000</v>
      </c>
      <c r="B71" t="s">
        <v>13</v>
      </c>
      <c r="C71" t="s">
        <v>12</v>
      </c>
      <c r="D71" t="s">
        <v>15</v>
      </c>
      <c r="E71">
        <v>19.41</v>
      </c>
      <c r="G71" t="s">
        <v>18</v>
      </c>
      <c r="I71">
        <f>E14/E71</f>
        <v>2.0607934054611023</v>
      </c>
    </row>
    <row r="72" spans="1:9" x14ac:dyDescent="0.25">
      <c r="A72">
        <v>10000</v>
      </c>
      <c r="B72" t="s">
        <v>13</v>
      </c>
      <c r="C72" t="s">
        <v>11</v>
      </c>
      <c r="D72" t="s">
        <v>15</v>
      </c>
      <c r="E72">
        <v>54.85</v>
      </c>
      <c r="G72" t="s">
        <v>17</v>
      </c>
      <c r="I72">
        <f>E14/E72</f>
        <v>0.72926162260711025</v>
      </c>
    </row>
    <row r="73" spans="1:9" x14ac:dyDescent="0.25">
      <c r="A73">
        <v>10000</v>
      </c>
      <c r="B73" t="s">
        <v>13</v>
      </c>
      <c r="C73" t="s">
        <v>11</v>
      </c>
      <c r="D73" t="s">
        <v>15</v>
      </c>
      <c r="E73">
        <v>23.08</v>
      </c>
      <c r="G73" t="s">
        <v>18</v>
      </c>
      <c r="I73">
        <f>E14/E73</f>
        <v>1.733102253032929</v>
      </c>
    </row>
    <row r="74" spans="1:9" x14ac:dyDescent="0.25">
      <c r="A74">
        <v>10000</v>
      </c>
      <c r="B74" t="s">
        <v>4</v>
      </c>
      <c r="C74" t="s">
        <v>5</v>
      </c>
      <c r="D74" t="s">
        <v>15</v>
      </c>
      <c r="E74">
        <v>4.83</v>
      </c>
      <c r="F74" t="s">
        <v>20</v>
      </c>
      <c r="G74" t="s">
        <v>17</v>
      </c>
      <c r="I74">
        <f>E14/E74</f>
        <v>8.2815734989648035</v>
      </c>
    </row>
    <row r="75" spans="1:9" x14ac:dyDescent="0.25">
      <c r="A75">
        <v>10000</v>
      </c>
      <c r="B75" t="s">
        <v>4</v>
      </c>
      <c r="C75" t="s">
        <v>5</v>
      </c>
      <c r="D75" t="s">
        <v>15</v>
      </c>
      <c r="E75">
        <v>47.6</v>
      </c>
      <c r="F75" t="s">
        <v>21</v>
      </c>
      <c r="G75" t="s">
        <v>17</v>
      </c>
      <c r="I75">
        <f>E14/E75</f>
        <v>0.84033613445378152</v>
      </c>
    </row>
    <row r="76" spans="1:9" x14ac:dyDescent="0.25">
      <c r="A76">
        <v>10000</v>
      </c>
      <c r="B76" t="s">
        <v>13</v>
      </c>
      <c r="C76" t="s">
        <v>5</v>
      </c>
      <c r="D76" t="s">
        <v>15</v>
      </c>
      <c r="E76">
        <v>6.43</v>
      </c>
      <c r="F76" t="s">
        <v>20</v>
      </c>
      <c r="G76" t="s">
        <v>17</v>
      </c>
      <c r="I76">
        <f>E14/E76</f>
        <v>6.2208398133748055</v>
      </c>
    </row>
    <row r="77" spans="1:9" x14ac:dyDescent="0.25">
      <c r="A77">
        <v>10000</v>
      </c>
      <c r="B77" t="s">
        <v>13</v>
      </c>
      <c r="C77" t="s">
        <v>5</v>
      </c>
      <c r="D77" t="s">
        <v>15</v>
      </c>
      <c r="E77">
        <v>6.02</v>
      </c>
      <c r="F77" t="s">
        <v>21</v>
      </c>
      <c r="G77" t="s">
        <v>17</v>
      </c>
      <c r="I77">
        <f>E14/E77</f>
        <v>6.6445182724252501</v>
      </c>
    </row>
    <row r="78" spans="1:9" x14ac:dyDescent="0.25">
      <c r="A78">
        <v>10000</v>
      </c>
      <c r="B78" t="s">
        <v>4</v>
      </c>
      <c r="C78" t="s">
        <v>8</v>
      </c>
      <c r="D78" t="s">
        <v>15</v>
      </c>
      <c r="E78">
        <v>11.4</v>
      </c>
      <c r="F78" t="s">
        <v>20</v>
      </c>
      <c r="G78" t="s">
        <v>18</v>
      </c>
      <c r="I78">
        <f>E14/E78</f>
        <v>3.5087719298245612</v>
      </c>
    </row>
    <row r="79" spans="1:9" x14ac:dyDescent="0.25">
      <c r="A79">
        <v>10000</v>
      </c>
      <c r="B79" t="s">
        <v>4</v>
      </c>
      <c r="C79" t="s">
        <v>8</v>
      </c>
      <c r="D79" t="s">
        <v>15</v>
      </c>
      <c r="E79">
        <v>10.8</v>
      </c>
      <c r="F79" t="s">
        <v>21</v>
      </c>
      <c r="G79" t="s">
        <v>18</v>
      </c>
      <c r="I79">
        <f>E14/E79</f>
        <v>3.7037037037037033</v>
      </c>
    </row>
    <row r="80" spans="1:9" x14ac:dyDescent="0.25">
      <c r="A80">
        <v>10000</v>
      </c>
      <c r="B80" t="s">
        <v>13</v>
      </c>
      <c r="C80" t="s">
        <v>5</v>
      </c>
      <c r="D80" t="s">
        <v>15</v>
      </c>
      <c r="E80">
        <v>8.83</v>
      </c>
      <c r="F80" t="s">
        <v>20</v>
      </c>
      <c r="G80" t="s">
        <v>18</v>
      </c>
      <c r="I80">
        <f>E14/E80</f>
        <v>4.5300113250283127</v>
      </c>
    </row>
    <row r="81" spans="1:9" x14ac:dyDescent="0.25">
      <c r="A81">
        <v>10000</v>
      </c>
      <c r="B81" t="s">
        <v>13</v>
      </c>
      <c r="C81" t="s">
        <v>5</v>
      </c>
      <c r="D81" t="s">
        <v>15</v>
      </c>
      <c r="E81">
        <v>8.92</v>
      </c>
      <c r="F81" t="s">
        <v>21</v>
      </c>
      <c r="G81" t="s">
        <v>18</v>
      </c>
      <c r="I81">
        <f>E14/E81</f>
        <v>4.4843049327354256</v>
      </c>
    </row>
    <row r="82" spans="1:9" x14ac:dyDescent="0.25">
      <c r="A82">
        <v>15000</v>
      </c>
      <c r="B82" t="s">
        <v>4</v>
      </c>
      <c r="C82" t="s">
        <v>5</v>
      </c>
      <c r="D82" t="s">
        <v>15</v>
      </c>
      <c r="E82">
        <v>15.16</v>
      </c>
      <c r="G82" t="s">
        <v>17</v>
      </c>
      <c r="I82">
        <f>E30/E82</f>
        <v>8.7730870712401057</v>
      </c>
    </row>
    <row r="83" spans="1:9" x14ac:dyDescent="0.25">
      <c r="A83">
        <v>15000</v>
      </c>
      <c r="B83" t="s">
        <v>4</v>
      </c>
      <c r="C83" t="s">
        <v>5</v>
      </c>
      <c r="D83" t="s">
        <v>15</v>
      </c>
      <c r="E83">
        <v>49.43</v>
      </c>
      <c r="G83" t="s">
        <v>18</v>
      </c>
      <c r="I83">
        <f>E30/E83</f>
        <v>2.6906736799514466</v>
      </c>
    </row>
    <row r="84" spans="1:9" x14ac:dyDescent="0.25">
      <c r="A84">
        <v>15000</v>
      </c>
      <c r="B84" t="s">
        <v>4</v>
      </c>
      <c r="C84" t="s">
        <v>8</v>
      </c>
      <c r="D84" t="s">
        <v>15</v>
      </c>
      <c r="E84">
        <v>147.94</v>
      </c>
      <c r="G84" t="s">
        <v>17</v>
      </c>
      <c r="I84">
        <f>E30/E84</f>
        <v>0.89901311342436119</v>
      </c>
    </row>
    <row r="85" spans="1:9" x14ac:dyDescent="0.25">
      <c r="A85">
        <v>15000</v>
      </c>
      <c r="B85" t="s">
        <v>4</v>
      </c>
      <c r="C85" t="s">
        <v>8</v>
      </c>
      <c r="D85" t="s">
        <v>15</v>
      </c>
      <c r="E85">
        <v>40.909999999999997</v>
      </c>
      <c r="G85" t="s">
        <v>18</v>
      </c>
      <c r="I85">
        <f>E30/E85</f>
        <v>3.2510388658029825</v>
      </c>
    </row>
    <row r="86" spans="1:9" x14ac:dyDescent="0.25">
      <c r="A86">
        <v>15000</v>
      </c>
      <c r="B86" t="s">
        <v>4</v>
      </c>
      <c r="C86" t="s">
        <v>12</v>
      </c>
      <c r="D86" t="s">
        <v>15</v>
      </c>
      <c r="E86">
        <v>200.19</v>
      </c>
      <c r="G86" t="s">
        <v>17</v>
      </c>
      <c r="I86">
        <f>E30/E86</f>
        <v>0.66436884959288678</v>
      </c>
    </row>
    <row r="87" spans="1:9" x14ac:dyDescent="0.25">
      <c r="A87">
        <v>15000</v>
      </c>
      <c r="B87" t="s">
        <v>4</v>
      </c>
      <c r="C87" t="s">
        <v>12</v>
      </c>
      <c r="D87" t="s">
        <v>15</v>
      </c>
      <c r="E87">
        <v>48.86</v>
      </c>
      <c r="G87" t="s">
        <v>18</v>
      </c>
      <c r="I87">
        <f>E30/E87</f>
        <v>2.7220630372492836</v>
      </c>
    </row>
    <row r="88" spans="1:9" x14ac:dyDescent="0.25">
      <c r="A88">
        <v>15000</v>
      </c>
      <c r="B88" t="s">
        <v>4</v>
      </c>
      <c r="C88" t="s">
        <v>11</v>
      </c>
      <c r="D88" t="s">
        <v>15</v>
      </c>
      <c r="E88">
        <v>175.56</v>
      </c>
      <c r="G88" t="s">
        <v>17</v>
      </c>
      <c r="I88">
        <f>E30/E88</f>
        <v>0.75757575757575757</v>
      </c>
    </row>
    <row r="89" spans="1:9" x14ac:dyDescent="0.25">
      <c r="A89">
        <v>15000</v>
      </c>
      <c r="B89" t="s">
        <v>4</v>
      </c>
      <c r="C89" t="s">
        <v>11</v>
      </c>
      <c r="D89" t="s">
        <v>15</v>
      </c>
      <c r="E89">
        <v>49.63</v>
      </c>
      <c r="G89" t="s">
        <v>18</v>
      </c>
      <c r="I89">
        <f>E30/E89</f>
        <v>2.6798307475317347</v>
      </c>
    </row>
    <row r="90" spans="1:9" x14ac:dyDescent="0.25">
      <c r="A90">
        <v>15000</v>
      </c>
      <c r="B90" t="s">
        <v>13</v>
      </c>
      <c r="C90" t="s">
        <v>5</v>
      </c>
      <c r="D90" t="s">
        <v>15</v>
      </c>
      <c r="E90">
        <v>20.18</v>
      </c>
      <c r="G90" t="s">
        <v>17</v>
      </c>
      <c r="I90">
        <f>E30/E90</f>
        <v>6.5906838453914771</v>
      </c>
    </row>
    <row r="91" spans="1:9" x14ac:dyDescent="0.25">
      <c r="A91">
        <v>15000</v>
      </c>
      <c r="B91" t="s">
        <v>13</v>
      </c>
      <c r="C91" t="s">
        <v>5</v>
      </c>
      <c r="D91" t="s">
        <v>15</v>
      </c>
      <c r="E91">
        <v>29.29</v>
      </c>
      <c r="G91" t="s">
        <v>18</v>
      </c>
      <c r="I91">
        <f>E30/E91</f>
        <v>4.5407989074769546</v>
      </c>
    </row>
    <row r="92" spans="1:9" x14ac:dyDescent="0.25">
      <c r="A92">
        <v>15000</v>
      </c>
      <c r="B92" t="s">
        <v>13</v>
      </c>
      <c r="C92" t="s">
        <v>8</v>
      </c>
      <c r="D92" t="s">
        <v>15</v>
      </c>
      <c r="E92">
        <v>20.36</v>
      </c>
      <c r="G92" t="s">
        <v>17</v>
      </c>
      <c r="I92">
        <f>E30/E92</f>
        <v>6.5324165029469548</v>
      </c>
    </row>
    <row r="93" spans="1:9" x14ac:dyDescent="0.25">
      <c r="A93">
        <v>15000</v>
      </c>
      <c r="B93" t="s">
        <v>13</v>
      </c>
      <c r="C93" t="s">
        <v>8</v>
      </c>
      <c r="D93" t="s">
        <v>15</v>
      </c>
      <c r="E93">
        <v>41.95</v>
      </c>
      <c r="G93" t="s">
        <v>18</v>
      </c>
      <c r="I93">
        <f>E30/E93</f>
        <v>3.1704410011918949</v>
      </c>
    </row>
    <row r="94" spans="1:9" x14ac:dyDescent="0.25">
      <c r="A94">
        <v>15000</v>
      </c>
      <c r="B94" t="s">
        <v>13</v>
      </c>
      <c r="C94" t="s">
        <v>12</v>
      </c>
      <c r="D94" t="s">
        <v>15</v>
      </c>
      <c r="E94">
        <v>188.16</v>
      </c>
      <c r="G94" t="s">
        <v>17</v>
      </c>
      <c r="I94">
        <f>E30/E94</f>
        <v>0.70684523809523814</v>
      </c>
    </row>
    <row r="95" spans="1:9" x14ac:dyDescent="0.25">
      <c r="A95">
        <v>15000</v>
      </c>
      <c r="B95" t="s">
        <v>13</v>
      </c>
      <c r="C95" t="s">
        <v>12</v>
      </c>
      <c r="D95" t="s">
        <v>15</v>
      </c>
      <c r="E95">
        <v>64.16</v>
      </c>
      <c r="G95" t="s">
        <v>18</v>
      </c>
      <c r="I95">
        <f>E30/E95</f>
        <v>2.0729426433915212</v>
      </c>
    </row>
    <row r="96" spans="1:9" x14ac:dyDescent="0.25">
      <c r="A96">
        <v>15000</v>
      </c>
      <c r="B96" t="s">
        <v>13</v>
      </c>
      <c r="C96" t="s">
        <v>11</v>
      </c>
      <c r="D96" t="s">
        <v>15</v>
      </c>
      <c r="E96">
        <v>183.17</v>
      </c>
      <c r="G96" t="s">
        <v>17</v>
      </c>
      <c r="I96">
        <f>E30/E96</f>
        <v>0.72610143582464381</v>
      </c>
    </row>
    <row r="97" spans="1:9" x14ac:dyDescent="0.25">
      <c r="A97">
        <v>15000</v>
      </c>
      <c r="B97" t="s">
        <v>13</v>
      </c>
      <c r="C97" t="s">
        <v>11</v>
      </c>
      <c r="D97" t="s">
        <v>15</v>
      </c>
      <c r="E97">
        <v>80.42</v>
      </c>
      <c r="G97" t="s">
        <v>18</v>
      </c>
      <c r="I97">
        <f>E30/E97</f>
        <v>1.6538174583436955</v>
      </c>
    </row>
    <row r="98" spans="1:9" x14ac:dyDescent="0.25">
      <c r="A98">
        <v>15000</v>
      </c>
      <c r="B98" t="s">
        <v>4</v>
      </c>
      <c r="C98" t="s">
        <v>5</v>
      </c>
      <c r="D98" t="s">
        <v>15</v>
      </c>
      <c r="E98">
        <v>15.15</v>
      </c>
      <c r="F98" t="s">
        <v>20</v>
      </c>
      <c r="G98" t="s">
        <v>17</v>
      </c>
      <c r="I98">
        <f>E30/E98</f>
        <v>8.778877887788779</v>
      </c>
    </row>
    <row r="99" spans="1:9" x14ac:dyDescent="0.25">
      <c r="A99">
        <v>15000</v>
      </c>
      <c r="B99" t="s">
        <v>4</v>
      </c>
      <c r="C99" t="s">
        <v>5</v>
      </c>
      <c r="D99" t="s">
        <v>15</v>
      </c>
      <c r="E99">
        <v>149.47</v>
      </c>
      <c r="F99" t="s">
        <v>21</v>
      </c>
      <c r="G99" t="s">
        <v>17</v>
      </c>
      <c r="I99">
        <f>E30/E99</f>
        <v>0.88981066434736067</v>
      </c>
    </row>
    <row r="100" spans="1:9" x14ac:dyDescent="0.25">
      <c r="A100">
        <v>15000</v>
      </c>
      <c r="B100" t="s">
        <v>13</v>
      </c>
      <c r="C100" t="s">
        <v>5</v>
      </c>
      <c r="D100" t="s">
        <v>15</v>
      </c>
      <c r="E100">
        <v>19.37</v>
      </c>
      <c r="F100" t="s">
        <v>20</v>
      </c>
      <c r="G100" t="s">
        <v>17</v>
      </c>
      <c r="I100">
        <f>E30/E100</f>
        <v>6.8662880743417656</v>
      </c>
    </row>
    <row r="101" spans="1:9" x14ac:dyDescent="0.25">
      <c r="A101">
        <v>15000</v>
      </c>
      <c r="B101" t="s">
        <v>13</v>
      </c>
      <c r="C101" t="s">
        <v>5</v>
      </c>
      <c r="D101" t="s">
        <v>15</v>
      </c>
      <c r="E101">
        <v>19.73</v>
      </c>
      <c r="F101" t="s">
        <v>21</v>
      </c>
      <c r="G101" t="s">
        <v>17</v>
      </c>
      <c r="I101">
        <f>E30/E101</f>
        <v>6.7410035478966037</v>
      </c>
    </row>
    <row r="102" spans="1:9" x14ac:dyDescent="0.25">
      <c r="A102">
        <v>15000</v>
      </c>
      <c r="B102" t="s">
        <v>4</v>
      </c>
      <c r="C102" t="s">
        <v>8</v>
      </c>
      <c r="D102" t="s">
        <v>15</v>
      </c>
      <c r="E102">
        <v>40.07</v>
      </c>
      <c r="F102" t="s">
        <v>20</v>
      </c>
      <c r="G102" t="s">
        <v>18</v>
      </c>
      <c r="I102">
        <f>E30/E102</f>
        <v>3.3191914150237083</v>
      </c>
    </row>
    <row r="103" spans="1:9" x14ac:dyDescent="0.25">
      <c r="A103">
        <v>15000</v>
      </c>
      <c r="B103" t="s">
        <v>4</v>
      </c>
      <c r="C103" t="s">
        <v>8</v>
      </c>
      <c r="D103" t="s">
        <v>15</v>
      </c>
      <c r="E103">
        <v>49.91</v>
      </c>
      <c r="F103" t="s">
        <v>21</v>
      </c>
      <c r="G103" t="s">
        <v>18</v>
      </c>
      <c r="I103">
        <f>E30/E103</f>
        <v>2.6647966339410942</v>
      </c>
    </row>
    <row r="104" spans="1:9" x14ac:dyDescent="0.25">
      <c r="A104">
        <v>15000</v>
      </c>
      <c r="B104" t="s">
        <v>13</v>
      </c>
      <c r="C104" t="s">
        <v>5</v>
      </c>
      <c r="D104" t="s">
        <v>15</v>
      </c>
      <c r="E104">
        <v>29.68</v>
      </c>
      <c r="F104" t="s">
        <v>20</v>
      </c>
      <c r="G104" t="s">
        <v>18</v>
      </c>
      <c r="I104">
        <f>E30/E104</f>
        <v>4.4811320754716979</v>
      </c>
    </row>
    <row r="105" spans="1:9" x14ac:dyDescent="0.25">
      <c r="A105">
        <v>15000</v>
      </c>
      <c r="B105" t="s">
        <v>13</v>
      </c>
      <c r="C105" t="s">
        <v>5</v>
      </c>
      <c r="D105" t="s">
        <v>15</v>
      </c>
      <c r="E105">
        <v>29.61</v>
      </c>
      <c r="F105" t="s">
        <v>21</v>
      </c>
      <c r="G105" t="s">
        <v>18</v>
      </c>
      <c r="I105">
        <f>E30/E105</f>
        <v>4.4917257683215128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E090-87CD-426F-B5E2-2BADFADD74B0}">
  <dimension ref="A1:P94"/>
  <sheetViews>
    <sheetView tabSelected="1" workbookViewId="0">
      <selection activeCell="P6" sqref="P6"/>
    </sheetView>
  </sheetViews>
  <sheetFormatPr defaultRowHeight="15" x14ac:dyDescent="0.25"/>
  <cols>
    <col min="3" max="3" width="17.85546875" customWidth="1"/>
    <col min="4" max="4" width="19.7109375" customWidth="1"/>
    <col min="6" max="6" width="15.140625" customWidth="1"/>
    <col min="7" max="8" width="17.28515625" customWidth="1"/>
    <col min="9" max="9" width="17.140625" customWidth="1"/>
    <col min="13" max="13" width="26.140625" customWidth="1"/>
    <col min="15" max="15" width="14.42578125" customWidth="1"/>
    <col min="16" max="16" width="27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19</v>
      </c>
      <c r="G1" s="1" t="s">
        <v>16</v>
      </c>
      <c r="H1" s="1" t="s">
        <v>14</v>
      </c>
      <c r="I1" s="1" t="s">
        <v>31</v>
      </c>
    </row>
    <row r="2" spans="1:16" x14ac:dyDescent="0.25">
      <c r="A2" s="2">
        <v>5000</v>
      </c>
      <c r="B2" s="2" t="s">
        <v>4</v>
      </c>
      <c r="C2" s="2" t="s">
        <v>5</v>
      </c>
      <c r="D2" s="2" t="s">
        <v>6</v>
      </c>
      <c r="E2" s="2">
        <v>5</v>
      </c>
      <c r="F2" s="2"/>
      <c r="G2" s="2"/>
      <c r="H2" s="2"/>
      <c r="I2" s="2"/>
      <c r="M2" t="s">
        <v>23</v>
      </c>
      <c r="N2" t="s">
        <v>15</v>
      </c>
      <c r="O2">
        <f>MAX(I24:I39)</f>
        <v>7.1428571428571432</v>
      </c>
      <c r="P2" t="s">
        <v>29</v>
      </c>
    </row>
    <row r="3" spans="1:16" x14ac:dyDescent="0.25">
      <c r="A3">
        <v>5000</v>
      </c>
      <c r="B3" t="s">
        <v>4</v>
      </c>
      <c r="C3" t="s">
        <v>9</v>
      </c>
      <c r="D3" t="s">
        <v>6</v>
      </c>
      <c r="E3">
        <v>257</v>
      </c>
      <c r="N3" t="s">
        <v>24</v>
      </c>
    </row>
    <row r="4" spans="1:16" x14ac:dyDescent="0.25">
      <c r="A4">
        <v>5000</v>
      </c>
      <c r="B4" t="s">
        <v>4</v>
      </c>
      <c r="C4" t="s">
        <v>10</v>
      </c>
      <c r="D4" t="s">
        <v>6</v>
      </c>
      <c r="E4">
        <v>68</v>
      </c>
      <c r="N4" t="s">
        <v>25</v>
      </c>
    </row>
    <row r="5" spans="1:16" x14ac:dyDescent="0.25">
      <c r="A5">
        <v>5000</v>
      </c>
      <c r="B5" t="s">
        <v>4</v>
      </c>
      <c r="C5" t="s">
        <v>11</v>
      </c>
      <c r="D5" t="s">
        <v>6</v>
      </c>
      <c r="E5">
        <v>24</v>
      </c>
    </row>
    <row r="6" spans="1:16" x14ac:dyDescent="0.25">
      <c r="A6">
        <v>5000</v>
      </c>
      <c r="B6" t="s">
        <v>4</v>
      </c>
      <c r="C6" t="s">
        <v>12</v>
      </c>
      <c r="D6" t="s">
        <v>6</v>
      </c>
      <c r="E6">
        <v>48</v>
      </c>
      <c r="M6" t="s">
        <v>27</v>
      </c>
      <c r="N6" t="s">
        <v>15</v>
      </c>
      <c r="O6">
        <f>MAX(I40:I63)</f>
        <v>8.2987551867219906</v>
      </c>
      <c r="P6" t="s">
        <v>30</v>
      </c>
    </row>
    <row r="7" spans="1:16" x14ac:dyDescent="0.25">
      <c r="A7" s="3">
        <v>5000</v>
      </c>
      <c r="B7" s="3" t="s">
        <v>13</v>
      </c>
      <c r="C7" s="3" t="s">
        <v>5</v>
      </c>
      <c r="D7" s="3" t="s">
        <v>6</v>
      </c>
      <c r="E7" s="3">
        <v>5</v>
      </c>
      <c r="F7" s="3"/>
      <c r="G7" s="3"/>
      <c r="H7" s="3"/>
      <c r="N7" t="s">
        <v>24</v>
      </c>
    </row>
    <row r="8" spans="1:16" x14ac:dyDescent="0.25">
      <c r="A8">
        <v>5000</v>
      </c>
      <c r="B8" t="s">
        <v>13</v>
      </c>
      <c r="C8" t="s">
        <v>9</v>
      </c>
      <c r="D8" t="s">
        <v>6</v>
      </c>
      <c r="E8">
        <v>167</v>
      </c>
      <c r="N8" t="s">
        <v>25</v>
      </c>
    </row>
    <row r="9" spans="1:16" x14ac:dyDescent="0.25">
      <c r="A9">
        <v>5000</v>
      </c>
      <c r="B9" t="s">
        <v>13</v>
      </c>
      <c r="C9" t="s">
        <v>10</v>
      </c>
      <c r="D9" t="s">
        <v>6</v>
      </c>
      <c r="E9">
        <v>65</v>
      </c>
    </row>
    <row r="10" spans="1:16" x14ac:dyDescent="0.25">
      <c r="A10">
        <v>5000</v>
      </c>
      <c r="B10" t="s">
        <v>13</v>
      </c>
      <c r="C10" t="s">
        <v>11</v>
      </c>
      <c r="D10" t="s">
        <v>6</v>
      </c>
      <c r="E10">
        <v>50</v>
      </c>
      <c r="M10" t="s">
        <v>28</v>
      </c>
      <c r="N10" t="s">
        <v>15</v>
      </c>
      <c r="O10">
        <f>MAX(I64:I94)</f>
        <v>9.1401489505754903</v>
      </c>
      <c r="P10" t="s">
        <v>30</v>
      </c>
    </row>
    <row r="11" spans="1:16" x14ac:dyDescent="0.25">
      <c r="A11">
        <v>5000</v>
      </c>
      <c r="B11" t="s">
        <v>13</v>
      </c>
      <c r="C11" t="s">
        <v>12</v>
      </c>
      <c r="D11" t="s">
        <v>6</v>
      </c>
      <c r="E11">
        <v>49</v>
      </c>
      <c r="N11" t="s">
        <v>24</v>
      </c>
    </row>
    <row r="12" spans="1:16" x14ac:dyDescent="0.25">
      <c r="A12" s="2">
        <v>10000</v>
      </c>
      <c r="B12" s="2" t="s">
        <v>4</v>
      </c>
      <c r="C12" s="2" t="s">
        <v>5</v>
      </c>
      <c r="D12" s="2" t="s">
        <v>6</v>
      </c>
      <c r="E12" s="2">
        <v>40</v>
      </c>
      <c r="F12" s="2"/>
      <c r="G12" s="2"/>
      <c r="H12" s="2"/>
      <c r="I12" s="2"/>
      <c r="N12" t="s">
        <v>25</v>
      </c>
    </row>
    <row r="13" spans="1:16" x14ac:dyDescent="0.25">
      <c r="A13">
        <v>10000</v>
      </c>
      <c r="B13" t="s">
        <v>4</v>
      </c>
      <c r="C13" t="s">
        <v>11</v>
      </c>
      <c r="D13" t="s">
        <v>6</v>
      </c>
      <c r="E13">
        <v>147</v>
      </c>
    </row>
    <row r="14" spans="1:16" x14ac:dyDescent="0.25">
      <c r="A14">
        <v>10000</v>
      </c>
      <c r="B14" t="s">
        <v>4</v>
      </c>
      <c r="C14" t="s">
        <v>12</v>
      </c>
      <c r="D14" t="s">
        <v>6</v>
      </c>
      <c r="E14">
        <v>402</v>
      </c>
    </row>
    <row r="15" spans="1:16" x14ac:dyDescent="0.25">
      <c r="A15">
        <v>10000</v>
      </c>
      <c r="B15" t="s">
        <v>13</v>
      </c>
      <c r="C15" t="s">
        <v>5</v>
      </c>
      <c r="D15" t="s">
        <v>6</v>
      </c>
      <c r="E15">
        <v>40</v>
      </c>
    </row>
    <row r="16" spans="1:16" x14ac:dyDescent="0.25">
      <c r="A16">
        <v>10000</v>
      </c>
      <c r="B16" t="s">
        <v>13</v>
      </c>
      <c r="C16" t="s">
        <v>11</v>
      </c>
      <c r="D16" t="s">
        <v>6</v>
      </c>
      <c r="E16">
        <v>408</v>
      </c>
    </row>
    <row r="17" spans="1:9" x14ac:dyDescent="0.25">
      <c r="A17">
        <v>10000</v>
      </c>
      <c r="B17" t="s">
        <v>13</v>
      </c>
      <c r="C17" t="s">
        <v>12</v>
      </c>
      <c r="D17" t="s">
        <v>6</v>
      </c>
      <c r="E17">
        <v>407</v>
      </c>
    </row>
    <row r="18" spans="1:9" x14ac:dyDescent="0.25">
      <c r="A18" s="2">
        <v>15000</v>
      </c>
      <c r="B18" s="2" t="s">
        <v>4</v>
      </c>
      <c r="C18" s="2" t="s">
        <v>5</v>
      </c>
      <c r="D18" s="2" t="s">
        <v>6</v>
      </c>
      <c r="E18" s="2">
        <v>135</v>
      </c>
      <c r="F18" s="2"/>
      <c r="G18" s="2"/>
      <c r="H18" s="2"/>
      <c r="I18" s="2"/>
    </row>
    <row r="19" spans="1:9" x14ac:dyDescent="0.25">
      <c r="A19">
        <v>15000</v>
      </c>
      <c r="B19" t="s">
        <v>4</v>
      </c>
      <c r="C19" t="s">
        <v>11</v>
      </c>
      <c r="D19" t="s">
        <v>6</v>
      </c>
      <c r="E19">
        <v>493</v>
      </c>
    </row>
    <row r="20" spans="1:9" x14ac:dyDescent="0.25">
      <c r="A20">
        <v>15000</v>
      </c>
      <c r="B20" t="s">
        <v>4</v>
      </c>
      <c r="C20" t="s">
        <v>12</v>
      </c>
      <c r="D20" t="s">
        <v>6</v>
      </c>
      <c r="E20">
        <v>1365</v>
      </c>
    </row>
    <row r="21" spans="1:9" x14ac:dyDescent="0.25">
      <c r="A21">
        <v>15000</v>
      </c>
      <c r="B21" t="s">
        <v>13</v>
      </c>
      <c r="C21" t="s">
        <v>5</v>
      </c>
      <c r="D21" t="s">
        <v>6</v>
      </c>
      <c r="E21">
        <v>175</v>
      </c>
    </row>
    <row r="22" spans="1:9" x14ac:dyDescent="0.25">
      <c r="A22">
        <v>15000</v>
      </c>
      <c r="B22" t="s">
        <v>13</v>
      </c>
      <c r="C22" t="s">
        <v>11</v>
      </c>
      <c r="D22" t="s">
        <v>6</v>
      </c>
      <c r="E22">
        <v>1358</v>
      </c>
    </row>
    <row r="23" spans="1:9" x14ac:dyDescent="0.25">
      <c r="A23">
        <v>15000</v>
      </c>
      <c r="B23" t="s">
        <v>13</v>
      </c>
      <c r="C23" t="s">
        <v>12</v>
      </c>
      <c r="D23" t="s">
        <v>6</v>
      </c>
      <c r="E23">
        <v>1374</v>
      </c>
    </row>
    <row r="24" spans="1:9" x14ac:dyDescent="0.25">
      <c r="A24">
        <v>5000</v>
      </c>
      <c r="B24" t="s">
        <v>4</v>
      </c>
      <c r="C24" t="s">
        <v>5</v>
      </c>
      <c r="D24" t="s">
        <v>15</v>
      </c>
      <c r="E24">
        <v>0.7</v>
      </c>
      <c r="G24" t="s">
        <v>17</v>
      </c>
      <c r="I24">
        <f>E2/E24</f>
        <v>7.1428571428571432</v>
      </c>
    </row>
    <row r="25" spans="1:9" x14ac:dyDescent="0.25">
      <c r="A25">
        <v>5000</v>
      </c>
      <c r="B25" t="s">
        <v>4</v>
      </c>
      <c r="C25" t="s">
        <v>5</v>
      </c>
      <c r="D25" t="s">
        <v>15</v>
      </c>
      <c r="E25">
        <v>2.16</v>
      </c>
      <c r="G25" t="s">
        <v>18</v>
      </c>
      <c r="I25">
        <f>E2/E25</f>
        <v>2.3148148148148149</v>
      </c>
    </row>
    <row r="26" spans="1:9" x14ac:dyDescent="0.25">
      <c r="A26">
        <v>5000</v>
      </c>
      <c r="B26" t="s">
        <v>4</v>
      </c>
      <c r="C26" t="s">
        <v>8</v>
      </c>
      <c r="D26" t="s">
        <v>15</v>
      </c>
      <c r="E26">
        <v>5.81</v>
      </c>
      <c r="G26" t="s">
        <v>17</v>
      </c>
      <c r="I26">
        <f>E2/E26</f>
        <v>0.86058519793459554</v>
      </c>
    </row>
    <row r="27" spans="1:9" x14ac:dyDescent="0.25">
      <c r="A27">
        <v>5000</v>
      </c>
      <c r="B27" t="s">
        <v>4</v>
      </c>
      <c r="C27" t="s">
        <v>8</v>
      </c>
      <c r="D27" t="s">
        <v>15</v>
      </c>
      <c r="E27">
        <v>1.72</v>
      </c>
      <c r="G27" t="s">
        <v>18</v>
      </c>
      <c r="I27">
        <f>E2/E27</f>
        <v>2.9069767441860463</v>
      </c>
    </row>
    <row r="28" spans="1:9" x14ac:dyDescent="0.25">
      <c r="A28">
        <v>5000</v>
      </c>
      <c r="B28" t="s">
        <v>4</v>
      </c>
      <c r="C28" t="s">
        <v>12</v>
      </c>
      <c r="D28" t="s">
        <v>15</v>
      </c>
      <c r="E28">
        <v>6.54</v>
      </c>
      <c r="G28" t="s">
        <v>17</v>
      </c>
      <c r="I28">
        <f>E2/E28</f>
        <v>0.76452599388379205</v>
      </c>
    </row>
    <row r="29" spans="1:9" x14ac:dyDescent="0.25">
      <c r="A29">
        <v>5000</v>
      </c>
      <c r="B29" t="s">
        <v>4</v>
      </c>
      <c r="C29" t="s">
        <v>12</v>
      </c>
      <c r="D29" t="s">
        <v>15</v>
      </c>
      <c r="E29">
        <v>2.2000000000000002</v>
      </c>
      <c r="G29" t="s">
        <v>18</v>
      </c>
      <c r="I29">
        <f>E2/E29</f>
        <v>2.2727272727272725</v>
      </c>
    </row>
    <row r="30" spans="1:9" x14ac:dyDescent="0.25">
      <c r="A30">
        <v>5000</v>
      </c>
      <c r="B30" t="s">
        <v>4</v>
      </c>
      <c r="C30" t="s">
        <v>11</v>
      </c>
      <c r="D30" t="s">
        <v>15</v>
      </c>
      <c r="E30">
        <v>6.62</v>
      </c>
      <c r="G30" t="s">
        <v>17</v>
      </c>
      <c r="I30">
        <f>E2/E30</f>
        <v>0.75528700906344415</v>
      </c>
    </row>
    <row r="31" spans="1:9" x14ac:dyDescent="0.25">
      <c r="A31">
        <v>5000</v>
      </c>
      <c r="B31" t="s">
        <v>4</v>
      </c>
      <c r="C31" t="s">
        <v>11</v>
      </c>
      <c r="D31" t="s">
        <v>15</v>
      </c>
      <c r="E31">
        <v>2.1</v>
      </c>
      <c r="G31" t="s">
        <v>18</v>
      </c>
      <c r="I31">
        <f>E2/E31</f>
        <v>2.3809523809523809</v>
      </c>
    </row>
    <row r="32" spans="1:9" x14ac:dyDescent="0.25">
      <c r="A32">
        <v>5000</v>
      </c>
      <c r="B32" t="s">
        <v>13</v>
      </c>
      <c r="C32" t="s">
        <v>5</v>
      </c>
      <c r="D32" t="s">
        <v>15</v>
      </c>
      <c r="E32">
        <v>0.92</v>
      </c>
      <c r="G32" t="s">
        <v>17</v>
      </c>
      <c r="I32">
        <f>E2/E32</f>
        <v>5.4347826086956523</v>
      </c>
    </row>
    <row r="33" spans="1:9" x14ac:dyDescent="0.25">
      <c r="A33">
        <v>5000</v>
      </c>
      <c r="B33" t="s">
        <v>13</v>
      </c>
      <c r="C33" t="s">
        <v>5</v>
      </c>
      <c r="D33" t="s">
        <v>15</v>
      </c>
      <c r="E33">
        <v>1.27</v>
      </c>
      <c r="G33" t="s">
        <v>18</v>
      </c>
      <c r="I33">
        <f>E2/E33</f>
        <v>3.9370078740157481</v>
      </c>
    </row>
    <row r="34" spans="1:9" x14ac:dyDescent="0.25">
      <c r="A34">
        <v>5000</v>
      </c>
      <c r="B34" t="s">
        <v>13</v>
      </c>
      <c r="C34" t="s">
        <v>8</v>
      </c>
      <c r="D34" t="s">
        <v>15</v>
      </c>
      <c r="E34">
        <v>0.94</v>
      </c>
      <c r="G34" t="s">
        <v>17</v>
      </c>
      <c r="I34">
        <f>E2/E34</f>
        <v>5.3191489361702127</v>
      </c>
    </row>
    <row r="35" spans="1:9" x14ac:dyDescent="0.25">
      <c r="A35">
        <v>5000</v>
      </c>
      <c r="B35" t="s">
        <v>13</v>
      </c>
      <c r="C35" t="s">
        <v>8</v>
      </c>
      <c r="D35" t="s">
        <v>15</v>
      </c>
      <c r="E35">
        <v>1.84</v>
      </c>
      <c r="G35" t="s">
        <v>18</v>
      </c>
      <c r="I35">
        <f>E2/E35</f>
        <v>2.7173913043478262</v>
      </c>
    </row>
    <row r="36" spans="1:9" x14ac:dyDescent="0.25">
      <c r="A36">
        <v>5000</v>
      </c>
      <c r="B36" t="s">
        <v>13</v>
      </c>
      <c r="C36" t="s">
        <v>12</v>
      </c>
      <c r="D36" t="s">
        <v>15</v>
      </c>
      <c r="E36">
        <v>6.69</v>
      </c>
      <c r="G36" t="s">
        <v>17</v>
      </c>
      <c r="I36">
        <f>E2/E36</f>
        <v>0.74738415545590431</v>
      </c>
    </row>
    <row r="37" spans="1:9" x14ac:dyDescent="0.25">
      <c r="A37">
        <v>5000</v>
      </c>
      <c r="B37" t="s">
        <v>13</v>
      </c>
      <c r="C37" t="s">
        <v>12</v>
      </c>
      <c r="D37" t="s">
        <v>15</v>
      </c>
      <c r="E37">
        <v>3.08</v>
      </c>
      <c r="G37" t="s">
        <v>18</v>
      </c>
      <c r="I37">
        <f>E2/E37</f>
        <v>1.6233766233766234</v>
      </c>
    </row>
    <row r="38" spans="1:9" x14ac:dyDescent="0.25">
      <c r="A38">
        <v>5000</v>
      </c>
      <c r="B38" t="s">
        <v>13</v>
      </c>
      <c r="C38" t="s">
        <v>11</v>
      </c>
      <c r="D38" t="s">
        <v>15</v>
      </c>
      <c r="E38">
        <v>6.68</v>
      </c>
      <c r="G38" t="s">
        <v>17</v>
      </c>
      <c r="I38">
        <f>E2/E38</f>
        <v>0.74850299401197606</v>
      </c>
    </row>
    <row r="39" spans="1:9" x14ac:dyDescent="0.25">
      <c r="A39">
        <v>5000</v>
      </c>
      <c r="B39" t="s">
        <v>13</v>
      </c>
      <c r="C39" t="s">
        <v>11</v>
      </c>
      <c r="D39" t="s">
        <v>15</v>
      </c>
      <c r="E39">
        <v>2.7</v>
      </c>
      <c r="G39" t="s">
        <v>18</v>
      </c>
      <c r="I39">
        <f>E2/E39</f>
        <v>1.8518518518518516</v>
      </c>
    </row>
    <row r="40" spans="1:9" x14ac:dyDescent="0.25">
      <c r="A40">
        <v>10000</v>
      </c>
      <c r="B40" t="s">
        <v>4</v>
      </c>
      <c r="C40" t="s">
        <v>5</v>
      </c>
      <c r="D40" t="s">
        <v>15</v>
      </c>
      <c r="E40">
        <v>4.87</v>
      </c>
      <c r="G40" t="s">
        <v>17</v>
      </c>
      <c r="I40">
        <f>E12/E40</f>
        <v>8.2135523613963031</v>
      </c>
    </row>
    <row r="41" spans="1:9" x14ac:dyDescent="0.25">
      <c r="A41">
        <v>10000</v>
      </c>
      <c r="B41" t="s">
        <v>4</v>
      </c>
      <c r="C41" t="s">
        <v>5</v>
      </c>
      <c r="D41" t="s">
        <v>15</v>
      </c>
      <c r="E41">
        <v>14.65</v>
      </c>
      <c r="G41" t="s">
        <v>18</v>
      </c>
      <c r="I41">
        <f>E12/E41</f>
        <v>2.7303754266211602</v>
      </c>
    </row>
    <row r="42" spans="1:9" x14ac:dyDescent="0.25">
      <c r="A42">
        <v>10000</v>
      </c>
      <c r="B42" t="s">
        <v>4</v>
      </c>
      <c r="C42" t="s">
        <v>8</v>
      </c>
      <c r="D42" t="s">
        <v>15</v>
      </c>
      <c r="E42">
        <v>44.74</v>
      </c>
      <c r="G42" t="s">
        <v>17</v>
      </c>
      <c r="I42">
        <f>E12/E42</f>
        <v>0.89405453732677687</v>
      </c>
    </row>
    <row r="43" spans="1:9" x14ac:dyDescent="0.25">
      <c r="A43">
        <v>10000</v>
      </c>
      <c r="B43" t="s">
        <v>4</v>
      </c>
      <c r="C43" t="s">
        <v>8</v>
      </c>
      <c r="D43" t="s">
        <v>15</v>
      </c>
      <c r="E43">
        <v>11.63</v>
      </c>
      <c r="G43" t="s">
        <v>18</v>
      </c>
      <c r="I43">
        <f>E12/E43</f>
        <v>3.4393809114359413</v>
      </c>
    </row>
    <row r="44" spans="1:9" x14ac:dyDescent="0.25">
      <c r="A44">
        <v>10000</v>
      </c>
      <c r="B44" t="s">
        <v>4</v>
      </c>
      <c r="C44" t="s">
        <v>12</v>
      </c>
      <c r="D44" t="s">
        <v>15</v>
      </c>
      <c r="E44">
        <v>51.15</v>
      </c>
      <c r="G44" t="s">
        <v>17</v>
      </c>
      <c r="I44">
        <f>E12/E44</f>
        <v>0.78201368523949166</v>
      </c>
    </row>
    <row r="45" spans="1:9" x14ac:dyDescent="0.25">
      <c r="A45">
        <v>10000</v>
      </c>
      <c r="B45" t="s">
        <v>4</v>
      </c>
      <c r="C45" t="s">
        <v>12</v>
      </c>
      <c r="D45" t="s">
        <v>15</v>
      </c>
      <c r="E45">
        <v>14.47</v>
      </c>
      <c r="G45" t="s">
        <v>18</v>
      </c>
      <c r="I45">
        <f>E12/E45</f>
        <v>2.7643400138217</v>
      </c>
    </row>
    <row r="46" spans="1:9" x14ac:dyDescent="0.25">
      <c r="A46">
        <v>10000</v>
      </c>
      <c r="B46" t="s">
        <v>4</v>
      </c>
      <c r="C46" t="s">
        <v>11</v>
      </c>
      <c r="D46" t="s">
        <v>15</v>
      </c>
      <c r="E46">
        <v>52.12</v>
      </c>
      <c r="G46" t="s">
        <v>17</v>
      </c>
      <c r="I46">
        <f>E12/E46</f>
        <v>0.76745970836531086</v>
      </c>
    </row>
    <row r="47" spans="1:9" x14ac:dyDescent="0.25">
      <c r="A47">
        <v>10000</v>
      </c>
      <c r="B47" t="s">
        <v>4</v>
      </c>
      <c r="C47" t="s">
        <v>11</v>
      </c>
      <c r="D47" t="s">
        <v>15</v>
      </c>
      <c r="E47">
        <v>15.09</v>
      </c>
      <c r="G47" t="s">
        <v>18</v>
      </c>
      <c r="I47">
        <f>E12/E47</f>
        <v>2.6507620941020544</v>
      </c>
    </row>
    <row r="48" spans="1:9" x14ac:dyDescent="0.25">
      <c r="A48">
        <v>10000</v>
      </c>
      <c r="B48" t="s">
        <v>13</v>
      </c>
      <c r="C48" t="s">
        <v>5</v>
      </c>
      <c r="D48" t="s">
        <v>15</v>
      </c>
      <c r="E48">
        <v>6.12</v>
      </c>
      <c r="G48" t="s">
        <v>17</v>
      </c>
      <c r="I48">
        <f>E12/E48</f>
        <v>6.5359477124183005</v>
      </c>
    </row>
    <row r="49" spans="1:9" x14ac:dyDescent="0.25">
      <c r="A49">
        <v>10000</v>
      </c>
      <c r="B49" t="s">
        <v>13</v>
      </c>
      <c r="C49" t="s">
        <v>5</v>
      </c>
      <c r="D49" t="s">
        <v>15</v>
      </c>
      <c r="E49">
        <v>8.91</v>
      </c>
      <c r="G49" t="s">
        <v>18</v>
      </c>
      <c r="I49">
        <f>E12/E49</f>
        <v>4.489337822671156</v>
      </c>
    </row>
    <row r="50" spans="1:9" x14ac:dyDescent="0.25">
      <c r="A50">
        <v>10000</v>
      </c>
      <c r="B50" t="s">
        <v>13</v>
      </c>
      <c r="C50" t="s">
        <v>8</v>
      </c>
      <c r="D50" t="s">
        <v>15</v>
      </c>
      <c r="E50">
        <v>6.3</v>
      </c>
      <c r="G50" t="s">
        <v>17</v>
      </c>
      <c r="I50">
        <f>E12/E50</f>
        <v>6.3492063492063497</v>
      </c>
    </row>
    <row r="51" spans="1:9" x14ac:dyDescent="0.25">
      <c r="A51">
        <v>10000</v>
      </c>
      <c r="B51" t="s">
        <v>13</v>
      </c>
      <c r="C51" t="s">
        <v>8</v>
      </c>
      <c r="D51" t="s">
        <v>15</v>
      </c>
      <c r="E51">
        <v>12</v>
      </c>
      <c r="G51" t="s">
        <v>18</v>
      </c>
      <c r="I51">
        <f>E12/E51</f>
        <v>3.3333333333333335</v>
      </c>
    </row>
    <row r="52" spans="1:9" x14ac:dyDescent="0.25">
      <c r="A52">
        <v>10000</v>
      </c>
      <c r="B52" t="s">
        <v>13</v>
      </c>
      <c r="C52" t="s">
        <v>12</v>
      </c>
      <c r="D52" t="s">
        <v>15</v>
      </c>
      <c r="E52">
        <v>55.33</v>
      </c>
      <c r="G52" t="s">
        <v>17</v>
      </c>
      <c r="I52">
        <f>E12/E52</f>
        <v>0.72293511657328757</v>
      </c>
    </row>
    <row r="53" spans="1:9" x14ac:dyDescent="0.25">
      <c r="A53">
        <v>10000</v>
      </c>
      <c r="B53" t="s">
        <v>13</v>
      </c>
      <c r="C53" t="s">
        <v>12</v>
      </c>
      <c r="D53" t="s">
        <v>15</v>
      </c>
      <c r="E53">
        <v>22.94</v>
      </c>
      <c r="G53" t="s">
        <v>18</v>
      </c>
      <c r="I53">
        <f>E12/E53</f>
        <v>1.7436791630340016</v>
      </c>
    </row>
    <row r="54" spans="1:9" x14ac:dyDescent="0.25">
      <c r="A54">
        <v>10000</v>
      </c>
      <c r="B54" t="s">
        <v>13</v>
      </c>
      <c r="C54" t="s">
        <v>11</v>
      </c>
      <c r="D54" t="s">
        <v>15</v>
      </c>
      <c r="E54">
        <v>53.12</v>
      </c>
      <c r="G54" t="s">
        <v>17</v>
      </c>
      <c r="I54">
        <f>E12/E54</f>
        <v>0.75301204819277112</v>
      </c>
    </row>
    <row r="55" spans="1:9" x14ac:dyDescent="0.25">
      <c r="A55">
        <v>10000</v>
      </c>
      <c r="B55" t="s">
        <v>13</v>
      </c>
      <c r="C55" t="s">
        <v>11</v>
      </c>
      <c r="D55" t="s">
        <v>15</v>
      </c>
      <c r="E55">
        <v>19.32</v>
      </c>
      <c r="G55" t="s">
        <v>18</v>
      </c>
      <c r="I55">
        <f>E12/E55</f>
        <v>2.0703933747412009</v>
      </c>
    </row>
    <row r="56" spans="1:9" x14ac:dyDescent="0.25">
      <c r="A56">
        <v>10000</v>
      </c>
      <c r="B56" t="s">
        <v>4</v>
      </c>
      <c r="C56" t="s">
        <v>5</v>
      </c>
      <c r="D56" t="s">
        <v>15</v>
      </c>
      <c r="E56">
        <v>4.82</v>
      </c>
      <c r="F56" t="s">
        <v>20</v>
      </c>
      <c r="G56" t="s">
        <v>17</v>
      </c>
      <c r="I56">
        <f>E12/E56</f>
        <v>8.2987551867219906</v>
      </c>
    </row>
    <row r="57" spans="1:9" x14ac:dyDescent="0.25">
      <c r="A57">
        <v>10000</v>
      </c>
      <c r="B57" t="s">
        <v>4</v>
      </c>
      <c r="C57" t="s">
        <v>5</v>
      </c>
      <c r="D57" t="s">
        <v>15</v>
      </c>
      <c r="E57">
        <v>44.7</v>
      </c>
      <c r="F57" t="s">
        <v>21</v>
      </c>
      <c r="G57" t="s">
        <v>17</v>
      </c>
      <c r="I57">
        <f>E12/E57</f>
        <v>0.89485458612975388</v>
      </c>
    </row>
    <row r="58" spans="1:9" x14ac:dyDescent="0.25">
      <c r="A58">
        <v>10000</v>
      </c>
      <c r="B58" t="s">
        <v>13</v>
      </c>
      <c r="C58" t="s">
        <v>5</v>
      </c>
      <c r="D58" t="s">
        <v>15</v>
      </c>
      <c r="E58">
        <v>6.27</v>
      </c>
      <c r="F58" t="s">
        <v>20</v>
      </c>
      <c r="G58" t="s">
        <v>17</v>
      </c>
      <c r="I58">
        <f>E12/E58</f>
        <v>6.3795853269537481</v>
      </c>
    </row>
    <row r="59" spans="1:9" x14ac:dyDescent="0.25">
      <c r="A59">
        <v>10000</v>
      </c>
      <c r="B59" t="s">
        <v>13</v>
      </c>
      <c r="C59" t="s">
        <v>5</v>
      </c>
      <c r="D59" t="s">
        <v>15</v>
      </c>
      <c r="E59">
        <v>6.19</v>
      </c>
      <c r="F59" t="s">
        <v>21</v>
      </c>
      <c r="G59" t="s">
        <v>17</v>
      </c>
      <c r="I59">
        <f>E12/E59</f>
        <v>6.4620355411954762</v>
      </c>
    </row>
    <row r="60" spans="1:9" x14ac:dyDescent="0.25">
      <c r="A60">
        <v>10000</v>
      </c>
      <c r="B60" t="s">
        <v>4</v>
      </c>
      <c r="C60" t="s">
        <v>8</v>
      </c>
      <c r="D60" t="s">
        <v>15</v>
      </c>
      <c r="E60">
        <v>11.93</v>
      </c>
      <c r="F60" t="s">
        <v>20</v>
      </c>
      <c r="G60" t="s">
        <v>18</v>
      </c>
      <c r="I60">
        <f>E12/E60</f>
        <v>3.3528918692372174</v>
      </c>
    </row>
    <row r="61" spans="1:9" x14ac:dyDescent="0.25">
      <c r="A61">
        <v>10000</v>
      </c>
      <c r="B61" t="s">
        <v>4</v>
      </c>
      <c r="C61" t="s">
        <v>8</v>
      </c>
      <c r="D61" t="s">
        <v>15</v>
      </c>
      <c r="E61">
        <v>10.92</v>
      </c>
      <c r="F61" t="s">
        <v>21</v>
      </c>
      <c r="G61" t="s">
        <v>18</v>
      </c>
      <c r="I61">
        <f>E12/E61</f>
        <v>3.6630036630036629</v>
      </c>
    </row>
    <row r="62" spans="1:9" x14ac:dyDescent="0.25">
      <c r="A62">
        <v>10000</v>
      </c>
      <c r="B62" t="s">
        <v>13</v>
      </c>
      <c r="C62" t="s">
        <v>5</v>
      </c>
      <c r="D62" t="s">
        <v>15</v>
      </c>
      <c r="E62">
        <v>9.0299999999999994</v>
      </c>
      <c r="F62" t="s">
        <v>20</v>
      </c>
      <c r="G62" t="s">
        <v>18</v>
      </c>
      <c r="I62">
        <f>E12/E62</f>
        <v>4.4296788482834994</v>
      </c>
    </row>
    <row r="63" spans="1:9" x14ac:dyDescent="0.25">
      <c r="A63">
        <v>10000</v>
      </c>
      <c r="B63" t="s">
        <v>13</v>
      </c>
      <c r="C63" t="s">
        <v>5</v>
      </c>
      <c r="D63" t="s">
        <v>15</v>
      </c>
      <c r="E63">
        <v>8.82</v>
      </c>
      <c r="F63" t="s">
        <v>21</v>
      </c>
      <c r="G63" t="s">
        <v>18</v>
      </c>
      <c r="I63">
        <f>E12/E63</f>
        <v>4.5351473922902494</v>
      </c>
    </row>
    <row r="64" spans="1:9" x14ac:dyDescent="0.25">
      <c r="A64">
        <v>15000</v>
      </c>
      <c r="B64" t="s">
        <v>4</v>
      </c>
      <c r="C64" t="s">
        <v>5</v>
      </c>
      <c r="D64" t="s">
        <v>15</v>
      </c>
      <c r="E64">
        <v>15.06</v>
      </c>
      <c r="G64" t="s">
        <v>17</v>
      </c>
      <c r="I64">
        <f>E18/E64</f>
        <v>8.9641434262948199</v>
      </c>
    </row>
    <row r="65" spans="1:9" x14ac:dyDescent="0.25">
      <c r="A65">
        <v>15000</v>
      </c>
      <c r="B65" t="s">
        <v>4</v>
      </c>
      <c r="C65" t="s">
        <v>5</v>
      </c>
      <c r="D65" t="s">
        <v>15</v>
      </c>
      <c r="E65">
        <v>50</v>
      </c>
      <c r="G65" t="s">
        <v>18</v>
      </c>
      <c r="I65">
        <f>E18/E65</f>
        <v>2.7</v>
      </c>
    </row>
    <row r="66" spans="1:9" x14ac:dyDescent="0.25">
      <c r="A66">
        <v>15000</v>
      </c>
      <c r="B66" t="s">
        <v>4</v>
      </c>
      <c r="C66" t="s">
        <v>8</v>
      </c>
      <c r="D66" t="s">
        <v>15</v>
      </c>
      <c r="E66">
        <v>148.62</v>
      </c>
      <c r="G66" t="s">
        <v>17</v>
      </c>
      <c r="I66">
        <f>E18/E66</f>
        <v>0.90835688332660469</v>
      </c>
    </row>
    <row r="67" spans="1:9" x14ac:dyDescent="0.25">
      <c r="A67">
        <v>15000</v>
      </c>
      <c r="B67" t="s">
        <v>4</v>
      </c>
      <c r="C67" t="s">
        <v>8</v>
      </c>
      <c r="D67" t="s">
        <v>15</v>
      </c>
      <c r="E67">
        <v>40.58</v>
      </c>
      <c r="G67" t="s">
        <v>18</v>
      </c>
      <c r="I67">
        <f>E18/E67</f>
        <v>3.3267619517003451</v>
      </c>
    </row>
    <row r="68" spans="1:9" x14ac:dyDescent="0.25">
      <c r="A68">
        <v>15000</v>
      </c>
      <c r="B68" t="s">
        <v>4</v>
      </c>
      <c r="C68" t="s">
        <v>12</v>
      </c>
      <c r="D68" t="s">
        <v>15</v>
      </c>
      <c r="E68">
        <v>176.82</v>
      </c>
      <c r="G68" t="s">
        <v>17</v>
      </c>
      <c r="I68">
        <f>E18/E68</f>
        <v>0.76348829317950462</v>
      </c>
    </row>
    <row r="69" spans="1:9" x14ac:dyDescent="0.25">
      <c r="A69">
        <v>15000</v>
      </c>
      <c r="B69" t="s">
        <v>4</v>
      </c>
      <c r="C69" t="s">
        <v>12</v>
      </c>
      <c r="D69" t="s">
        <v>15</v>
      </c>
      <c r="E69">
        <v>48.14</v>
      </c>
      <c r="G69" t="s">
        <v>18</v>
      </c>
      <c r="I69">
        <f>E18/E69</f>
        <v>2.8043207312006646</v>
      </c>
    </row>
    <row r="70" spans="1:9" x14ac:dyDescent="0.25">
      <c r="A70">
        <v>15000</v>
      </c>
      <c r="B70" t="s">
        <v>4</v>
      </c>
      <c r="C70" t="s">
        <v>11</v>
      </c>
      <c r="D70" t="s">
        <v>15</v>
      </c>
      <c r="E70">
        <v>181.31</v>
      </c>
      <c r="G70" t="s">
        <v>17</v>
      </c>
      <c r="I70">
        <f>E18/E70</f>
        <v>0.74458110418620038</v>
      </c>
    </row>
    <row r="71" spans="1:9" x14ac:dyDescent="0.25">
      <c r="A71">
        <v>15000</v>
      </c>
      <c r="B71" t="s">
        <v>4</v>
      </c>
      <c r="C71" t="s">
        <v>11</v>
      </c>
      <c r="D71" t="s">
        <v>15</v>
      </c>
      <c r="E71">
        <v>50.2</v>
      </c>
      <c r="G71" t="s">
        <v>18</v>
      </c>
      <c r="I71">
        <f>E18/E71</f>
        <v>2.689243027888446</v>
      </c>
    </row>
    <row r="72" spans="1:9" x14ac:dyDescent="0.25">
      <c r="A72">
        <v>15000</v>
      </c>
      <c r="B72" t="s">
        <v>13</v>
      </c>
      <c r="C72" t="s">
        <v>5</v>
      </c>
      <c r="D72" t="s">
        <v>15</v>
      </c>
      <c r="E72">
        <v>19.25</v>
      </c>
      <c r="G72" t="s">
        <v>17</v>
      </c>
      <c r="I72">
        <f>E18/E72</f>
        <v>7.0129870129870131</v>
      </c>
    </row>
    <row r="73" spans="1:9" x14ac:dyDescent="0.25">
      <c r="A73">
        <v>15000</v>
      </c>
      <c r="B73" t="s">
        <v>13</v>
      </c>
      <c r="C73" t="s">
        <v>5</v>
      </c>
      <c r="D73" t="s">
        <v>15</v>
      </c>
      <c r="E73">
        <v>29.21</v>
      </c>
      <c r="G73" t="s">
        <v>18</v>
      </c>
      <c r="I73">
        <f>E18/E73</f>
        <v>4.6217048955837043</v>
      </c>
    </row>
    <row r="74" spans="1:9" x14ac:dyDescent="0.25">
      <c r="A74">
        <v>15000</v>
      </c>
      <c r="B74" t="s">
        <v>13</v>
      </c>
      <c r="C74" t="s">
        <v>8</v>
      </c>
      <c r="D74" t="s">
        <v>15</v>
      </c>
      <c r="E74">
        <v>19.690000000000001</v>
      </c>
      <c r="G74" t="s">
        <v>17</v>
      </c>
      <c r="I74">
        <f>E18/E74</f>
        <v>6.8562722194007106</v>
      </c>
    </row>
    <row r="75" spans="1:9" x14ac:dyDescent="0.25">
      <c r="A75">
        <v>15000</v>
      </c>
      <c r="B75" t="s">
        <v>13</v>
      </c>
      <c r="C75" t="s">
        <v>8</v>
      </c>
      <c r="D75" t="s">
        <v>15</v>
      </c>
      <c r="E75">
        <v>41.96</v>
      </c>
      <c r="G75" t="s">
        <v>18</v>
      </c>
      <c r="I75">
        <f>E18/E75</f>
        <v>3.2173498570066728</v>
      </c>
    </row>
    <row r="76" spans="1:9" x14ac:dyDescent="0.25">
      <c r="A76">
        <v>15000</v>
      </c>
      <c r="B76" t="s">
        <v>13</v>
      </c>
      <c r="C76" t="s">
        <v>12</v>
      </c>
      <c r="D76" t="s">
        <v>15</v>
      </c>
      <c r="E76">
        <v>179.25</v>
      </c>
      <c r="G76" t="s">
        <v>17</v>
      </c>
      <c r="I76">
        <f>E18/E76</f>
        <v>0.7531380753138075</v>
      </c>
    </row>
    <row r="77" spans="1:9" x14ac:dyDescent="0.25">
      <c r="A77">
        <v>15000</v>
      </c>
      <c r="B77" t="s">
        <v>13</v>
      </c>
      <c r="C77" t="s">
        <v>12</v>
      </c>
      <c r="D77" t="s">
        <v>15</v>
      </c>
      <c r="E77">
        <v>65.67</v>
      </c>
      <c r="G77" t="s">
        <v>18</v>
      </c>
      <c r="I77">
        <f>E18/E77</f>
        <v>2.0557332115121061</v>
      </c>
    </row>
    <row r="78" spans="1:9" x14ac:dyDescent="0.25">
      <c r="A78">
        <v>15000</v>
      </c>
      <c r="B78" t="s">
        <v>13</v>
      </c>
      <c r="C78" t="s">
        <v>11</v>
      </c>
      <c r="D78" t="s">
        <v>15</v>
      </c>
      <c r="E78">
        <v>181.59</v>
      </c>
      <c r="G78" t="s">
        <v>17</v>
      </c>
      <c r="I78">
        <f>E18/E78</f>
        <v>0.74343300842557403</v>
      </c>
    </row>
    <row r="79" spans="1:9" x14ac:dyDescent="0.25">
      <c r="A79">
        <v>15000</v>
      </c>
      <c r="B79" t="s">
        <v>13</v>
      </c>
      <c r="C79" t="s">
        <v>11</v>
      </c>
      <c r="D79" t="s">
        <v>15</v>
      </c>
      <c r="E79">
        <v>78.78</v>
      </c>
      <c r="G79" t="s">
        <v>18</v>
      </c>
      <c r="I79">
        <f>E18/E79</f>
        <v>1.7136329017517136</v>
      </c>
    </row>
    <row r="80" spans="1:9" x14ac:dyDescent="0.25">
      <c r="A80">
        <v>15000</v>
      </c>
      <c r="B80" t="s">
        <v>4</v>
      </c>
      <c r="C80" t="s">
        <v>5</v>
      </c>
      <c r="D80" t="s">
        <v>15</v>
      </c>
      <c r="E80">
        <v>14.77</v>
      </c>
      <c r="F80" t="s">
        <v>20</v>
      </c>
      <c r="G80" t="s">
        <v>17</v>
      </c>
      <c r="I80">
        <f>E18/E80</f>
        <v>9.1401489505754903</v>
      </c>
    </row>
    <row r="81" spans="1:9" x14ac:dyDescent="0.25">
      <c r="A81">
        <v>15000</v>
      </c>
      <c r="B81" t="s">
        <v>4</v>
      </c>
      <c r="C81" t="s">
        <v>5</v>
      </c>
      <c r="D81" t="s">
        <v>15</v>
      </c>
      <c r="E81">
        <v>149.04</v>
      </c>
      <c r="F81" t="s">
        <v>21</v>
      </c>
      <c r="G81" t="s">
        <v>17</v>
      </c>
      <c r="I81">
        <f>E18/E81</f>
        <v>0.90579710144927539</v>
      </c>
    </row>
    <row r="82" spans="1:9" x14ac:dyDescent="0.25">
      <c r="A82">
        <v>15000</v>
      </c>
      <c r="B82" t="s">
        <v>13</v>
      </c>
      <c r="C82" t="s">
        <v>5</v>
      </c>
      <c r="D82" t="s">
        <v>15</v>
      </c>
      <c r="E82">
        <v>20.079999999999998</v>
      </c>
      <c r="F82" t="s">
        <v>20</v>
      </c>
      <c r="G82" t="s">
        <v>17</v>
      </c>
      <c r="I82">
        <f>E18/E82</f>
        <v>6.7231075697211162</v>
      </c>
    </row>
    <row r="83" spans="1:9" x14ac:dyDescent="0.25">
      <c r="A83">
        <v>15000</v>
      </c>
      <c r="B83" t="s">
        <v>13</v>
      </c>
      <c r="C83" t="s">
        <v>5</v>
      </c>
      <c r="D83" t="s">
        <v>15</v>
      </c>
      <c r="E83">
        <v>20.02</v>
      </c>
      <c r="F83" t="s">
        <v>21</v>
      </c>
      <c r="G83" t="s">
        <v>17</v>
      </c>
      <c r="I83">
        <f>E18/E83</f>
        <v>6.743256743256743</v>
      </c>
    </row>
    <row r="84" spans="1:9" x14ac:dyDescent="0.25">
      <c r="A84">
        <v>15000</v>
      </c>
      <c r="B84" t="s">
        <v>4</v>
      </c>
      <c r="C84" t="s">
        <v>8</v>
      </c>
      <c r="D84" t="s">
        <v>15</v>
      </c>
      <c r="E84">
        <v>41.48</v>
      </c>
      <c r="F84" t="s">
        <v>20</v>
      </c>
      <c r="G84" t="s">
        <v>18</v>
      </c>
      <c r="I84">
        <f>E18/E84</f>
        <v>3.2545805207328837</v>
      </c>
    </row>
    <row r="85" spans="1:9" x14ac:dyDescent="0.25">
      <c r="A85">
        <v>15000</v>
      </c>
      <c r="B85" t="s">
        <v>4</v>
      </c>
      <c r="C85" t="s">
        <v>8</v>
      </c>
      <c r="D85" t="s">
        <v>15</v>
      </c>
      <c r="E85">
        <v>49.19</v>
      </c>
      <c r="F85" t="s">
        <v>21</v>
      </c>
      <c r="G85" t="s">
        <v>18</v>
      </c>
      <c r="I85">
        <f>E18/E85</f>
        <v>2.7444602561496239</v>
      </c>
    </row>
    <row r="86" spans="1:9" x14ac:dyDescent="0.25">
      <c r="A86">
        <v>15000</v>
      </c>
      <c r="B86" t="s">
        <v>13</v>
      </c>
      <c r="C86" t="s">
        <v>5</v>
      </c>
      <c r="D86" t="s">
        <v>15</v>
      </c>
      <c r="E86">
        <v>29.51</v>
      </c>
      <c r="F86" t="s">
        <v>20</v>
      </c>
      <c r="G86" t="s">
        <v>18</v>
      </c>
      <c r="I86">
        <f>E18/E86</f>
        <v>4.5747204337512706</v>
      </c>
    </row>
    <row r="87" spans="1:9" x14ac:dyDescent="0.25">
      <c r="A87">
        <v>15000</v>
      </c>
      <c r="B87" t="s">
        <v>13</v>
      </c>
      <c r="C87" t="s">
        <v>5</v>
      </c>
      <c r="D87" t="s">
        <v>15</v>
      </c>
      <c r="E87">
        <v>29.62</v>
      </c>
      <c r="F87" t="s">
        <v>21</v>
      </c>
      <c r="G87" t="s">
        <v>18</v>
      </c>
      <c r="I87">
        <f>E18/E87</f>
        <v>4.5577312626603641</v>
      </c>
    </row>
    <row r="88" spans="1:9" x14ac:dyDescent="0.25">
      <c r="A88">
        <v>15000</v>
      </c>
      <c r="B88" t="s">
        <v>4</v>
      </c>
      <c r="C88" t="s">
        <v>5</v>
      </c>
      <c r="D88" t="s">
        <v>15</v>
      </c>
      <c r="E88">
        <v>135.83000000000001</v>
      </c>
      <c r="G88" t="s">
        <v>17</v>
      </c>
      <c r="H88">
        <v>1</v>
      </c>
      <c r="I88">
        <f>E18/E88</f>
        <v>0.99388942059927843</v>
      </c>
    </row>
    <row r="89" spans="1:9" x14ac:dyDescent="0.25">
      <c r="A89">
        <v>15000</v>
      </c>
      <c r="B89" t="s">
        <v>4</v>
      </c>
      <c r="C89" t="s">
        <v>5</v>
      </c>
      <c r="D89" t="s">
        <v>15</v>
      </c>
      <c r="E89">
        <v>75.33</v>
      </c>
      <c r="G89" t="s">
        <v>17</v>
      </c>
      <c r="H89">
        <v>2</v>
      </c>
      <c r="I89">
        <f>E18/E89</f>
        <v>1.7921146953405018</v>
      </c>
    </row>
    <row r="90" spans="1:9" x14ac:dyDescent="0.25">
      <c r="A90">
        <v>15000</v>
      </c>
      <c r="B90" t="s">
        <v>4</v>
      </c>
      <c r="C90" t="s">
        <v>5</v>
      </c>
      <c r="D90" t="s">
        <v>15</v>
      </c>
      <c r="E90">
        <v>35.19</v>
      </c>
      <c r="G90" t="s">
        <v>17</v>
      </c>
      <c r="H90">
        <v>4</v>
      </c>
      <c r="I90">
        <f>E18/E90</f>
        <v>3.8363171355498724</v>
      </c>
    </row>
    <row r="91" spans="1:9" x14ac:dyDescent="0.25">
      <c r="A91">
        <v>15000</v>
      </c>
      <c r="B91" t="s">
        <v>4</v>
      </c>
      <c r="C91" t="s">
        <v>5</v>
      </c>
      <c r="D91" t="s">
        <v>15</v>
      </c>
      <c r="E91">
        <v>21.57</v>
      </c>
      <c r="G91" t="s">
        <v>17</v>
      </c>
      <c r="H91">
        <v>8</v>
      </c>
      <c r="I91">
        <f>E18/E91</f>
        <v>6.2586926286509037</v>
      </c>
    </row>
    <row r="92" spans="1:9" x14ac:dyDescent="0.25">
      <c r="A92">
        <v>15000</v>
      </c>
      <c r="B92" t="s">
        <v>4</v>
      </c>
      <c r="C92" t="s">
        <v>5</v>
      </c>
      <c r="D92" t="s">
        <v>15</v>
      </c>
      <c r="E92">
        <v>17.22</v>
      </c>
      <c r="G92" t="s">
        <v>17</v>
      </c>
      <c r="H92">
        <v>16</v>
      </c>
      <c r="I92">
        <f>E18/E92</f>
        <v>7.8397212543554016</v>
      </c>
    </row>
    <row r="93" spans="1:9" x14ac:dyDescent="0.25">
      <c r="A93">
        <v>15000</v>
      </c>
      <c r="B93" t="s">
        <v>4</v>
      </c>
      <c r="C93" t="s">
        <v>5</v>
      </c>
      <c r="D93" t="s">
        <v>15</v>
      </c>
      <c r="E93">
        <v>15.4</v>
      </c>
      <c r="G93" t="s">
        <v>17</v>
      </c>
      <c r="H93">
        <v>24</v>
      </c>
      <c r="I93">
        <f>E18/E93</f>
        <v>8.7662337662337659</v>
      </c>
    </row>
    <row r="94" spans="1:9" x14ac:dyDescent="0.25">
      <c r="A94">
        <v>15000</v>
      </c>
      <c r="B94" t="s">
        <v>4</v>
      </c>
      <c r="C94" t="s">
        <v>5</v>
      </c>
      <c r="D94" t="s">
        <v>15</v>
      </c>
      <c r="E94">
        <v>16.91</v>
      </c>
      <c r="G94" t="s">
        <v>17</v>
      </c>
      <c r="H94">
        <v>32</v>
      </c>
      <c r="I94">
        <f>E18/E94</f>
        <v>7.9834417504435242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WK007</vt:lpstr>
      <vt:lpstr>WK008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Caviglia</dc:creator>
  <cp:lastModifiedBy>Sara Caviglia</cp:lastModifiedBy>
  <dcterms:created xsi:type="dcterms:W3CDTF">2026-08-03T13:43:04Z</dcterms:created>
  <dcterms:modified xsi:type="dcterms:W3CDTF">2026-08-04T13:24:21Z</dcterms:modified>
</cp:coreProperties>
</file>